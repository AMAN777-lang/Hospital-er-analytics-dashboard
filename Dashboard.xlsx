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796a5c4b1a56cbe4/Documents/Projects/Hospital Dashboard/"/>
    </mc:Choice>
  </mc:AlternateContent>
  <xr:revisionPtr revIDLastSave="0" documentId="13_ncr:1_{9B779CA4-0C9F-4FF3-89EC-F998B6041B31}" xr6:coauthVersionLast="47" xr6:coauthVersionMax="47" xr10:uidLastSave="{00000000-0000-0000-0000-000000000000}"/>
  <bookViews>
    <workbookView xWindow="-110" yWindow="-110" windowWidth="19420" windowHeight="11500" xr2:uid="{68FF3A4E-EF80-4940-A660-3F27D0E14294}"/>
  </bookViews>
  <sheets>
    <sheet name="Dashboard " sheetId="3" r:id="rId1"/>
    <sheet name="Daily ER no of Patient" sheetId="4" r:id="rId2"/>
    <sheet name="Average wait time daily trend" sheetId="5" r:id="rId3"/>
    <sheet name="Satisfication score daily" sheetId="6" r:id="rId4"/>
    <sheet name="Pivot Report" sheetId="1" r:id="rId5"/>
  </sheets>
  <definedNames>
    <definedName name="Slicer_Date__Month">#N/A</definedName>
    <definedName name="Slicer_Date__Year">#N/A</definedName>
  </definedNames>
  <calcPr calcId="191029"/>
  <pivotCaches>
    <pivotCache cacheId="7" r:id="rId6"/>
    <pivotCache cacheId="8" r:id="rId7"/>
    <pivotCache cacheId="9" r:id="rId8"/>
    <pivotCache cacheId="10" r:id="rId9"/>
    <pivotCache cacheId="11" r:id="rId10"/>
    <pivotCache cacheId="12" r:id="rId11"/>
    <pivotCache cacheId="13" r:id="rId12"/>
    <pivotCache cacheId="14" r:id="rId13"/>
    <pivotCache cacheId="15" r:id="rId14"/>
    <pivotCache cacheId="16" r:id="rId15"/>
    <pivotCache cacheId="17" r:id="rId16"/>
    <pivotCache cacheId="18" r:id="rId17"/>
  </pivotCaches>
  <extLst>
    <ext xmlns:x14="http://schemas.microsoft.com/office/spreadsheetml/2009/9/main" uri="{876F7934-8845-4945-9796-88D515C7AA90}">
      <x14:pivotCaches>
        <pivotCache cacheId="19"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3fc399c-30f4-4bc0-9ae3-6ce9b570591f" name="Hospital Emergency Room Data" connection="Query - Hospital Emergency Room Data"/>
          <x15:modelTable id="Calendar_Table_772fcfd5-34a7-4159-b60b-3957f22206a3"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5" i="1" l="1"/>
  <c r="D64" i="1"/>
  <c r="C64" i="1"/>
  <c r="C65" i="1"/>
  <c r="B64" i="1"/>
  <c r="B6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2343AF-16A3-442A-A81F-881BDDFA054F}" name="Query - Calendar_Table" description="Connection to the 'Calendar_Table' query in the workbook." type="100" refreshedVersion="8" minRefreshableVersion="5">
    <extLst>
      <ext xmlns:x15="http://schemas.microsoft.com/office/spreadsheetml/2010/11/main" uri="{DE250136-89BD-433C-8126-D09CA5730AF9}">
        <x15:connection id="09bc787c-d09b-422c-85a2-4338520f4dcb"/>
      </ext>
    </extLst>
  </connection>
  <connection id="2" xr16:uid="{EAB92F53-6A6B-4DA5-8154-39C0CEC20F6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c32db8ea-1fcf-4b12-9aa7-48a12894b6be"/>
      </ext>
    </extLst>
  </connection>
  <connection id="3" xr16:uid="{FE2AEE5B-25EE-4648-AEE0-88E27A52180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<sst xmlns="http://schemas.openxmlformats.org/spreadsheetml/2006/main" count="161" uniqueCount="80">
  <si>
    <t>Distinct Count of Patient Id</t>
  </si>
  <si>
    <t>No. of Patient</t>
  </si>
  <si>
    <t>Average of Patient Waittime</t>
  </si>
  <si>
    <t>Male</t>
  </si>
  <si>
    <t>None</t>
  </si>
  <si>
    <t>Admitted</t>
  </si>
  <si>
    <t>60-69</t>
  </si>
  <si>
    <t>Delay</t>
  </si>
  <si>
    <t>70-79</t>
  </si>
  <si>
    <t>10-19</t>
  </si>
  <si>
    <t>Ontime</t>
  </si>
  <si>
    <t>40-49</t>
  </si>
  <si>
    <t>50-59</t>
  </si>
  <si>
    <t>20-29</t>
  </si>
  <si>
    <t>0-09</t>
  </si>
  <si>
    <t>30-39</t>
  </si>
  <si>
    <t>Female</t>
  </si>
  <si>
    <t>Not Admitted</t>
  </si>
  <si>
    <t>Average of Patient Satisfaction Score</t>
  </si>
  <si>
    <t>Row Labels</t>
  </si>
  <si>
    <t>Grand Total</t>
  </si>
  <si>
    <t>*Showing a daily trend with an area sparkline to spot trends like busy days or seasonal trends.</t>
  </si>
  <si>
    <t>Daily trend of no of patients visiting ER</t>
  </si>
  <si>
    <t>Average wait time</t>
  </si>
  <si>
    <t>*Use an area sparkline to track daily changes and highlight days with longer wait times that might need improvements</t>
  </si>
  <si>
    <t>*Use an area chart to show trends, spot drops in satisfication, and link them to busy times or challenges.</t>
  </si>
  <si>
    <t>Patient satisfication daily trend</t>
  </si>
  <si>
    <t>Count of Patient Admission Flag</t>
  </si>
  <si>
    <t>Count of Patient Admission Flag2</t>
  </si>
  <si>
    <t xml:space="preserve">Admission Status </t>
  </si>
  <si>
    <t>%Status</t>
  </si>
  <si>
    <t xml:space="preserve">No. of  Patient </t>
  </si>
  <si>
    <t>Count of Age Group</t>
  </si>
  <si>
    <t>Age Wise Group</t>
  </si>
  <si>
    <t>Count of Patient attend status</t>
  </si>
  <si>
    <t>Atteneded Status</t>
  </si>
  <si>
    <t>Count of Patient Gender</t>
  </si>
  <si>
    <t>Gender wise analysis</t>
  </si>
  <si>
    <t>Department</t>
  </si>
  <si>
    <t>Cardiology</t>
  </si>
  <si>
    <t>Gastroenterology</t>
  </si>
  <si>
    <t>General Practice</t>
  </si>
  <si>
    <t>Neurology</t>
  </si>
  <si>
    <t>Orthopedics</t>
  </si>
  <si>
    <t>Physiotherapy</t>
  </si>
  <si>
    <t>Renal</t>
  </si>
  <si>
    <t>Count of Department Referral</t>
  </si>
  <si>
    <t>2023</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</si>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</sst>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sz val="11"/>
      <color theme="1"/>
      <name val="Aptos Narrow"/>
      <family val="2"/>
      <scheme val="minor"/>
    </font>
    <font>
      <sz val="14"/>
      <color theme="1"/>
      <name val="Aptos Narrow"/>
      <family val="2"/>
      <scheme val="minor"/>
    </font>
    <font>
      <sz val="16"/>
      <color theme="1"/>
      <name val="Aptos Narrow"/>
      <family val="2"/>
      <scheme val="minor"/>
    </font>
    <font>
      <sz val="10"/>
      <color theme="1"/>
      <name val="Aptos Narrow"/>
      <family val="2"/>
      <scheme val="minor"/>
    </font>
    <font>
      <u/>
      <sz val="11"/>
      <color theme="1"/>
      <name val="Aptos Narrow"/>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3" tint="0.499984740745262"/>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2" fillId="3" borderId="0" xfId="0" applyFont="1" applyFill="1" applyAlignment="1">
      <alignment horizontal="left"/>
    </xf>
    <xf numFmtId="0" fontId="3" fillId="3" borderId="0" xfId="0" applyFont="1" applyFill="1" applyAlignment="1">
      <alignment horizontal="left"/>
    </xf>
    <xf numFmtId="0" fontId="2" fillId="3" borderId="0" xfId="0" applyFont="1" applyFill="1"/>
    <xf numFmtId="1" fontId="0" fillId="0" borderId="0" xfId="0" applyNumberFormat="1"/>
    <xf numFmtId="10" fontId="0" fillId="0" borderId="0" xfId="0" applyNumberFormat="1"/>
    <xf numFmtId="0" fontId="0" fillId="4" borderId="0" xfId="0" applyFill="1"/>
    <xf numFmtId="0" fontId="0" fillId="5" borderId="0" xfId="0" applyFill="1"/>
    <xf numFmtId="0" fontId="4" fillId="4" borderId="0" xfId="0" applyFont="1" applyFill="1" applyAlignment="1">
      <alignment horizontal="center"/>
    </xf>
    <xf numFmtId="0" fontId="4" fillId="3" borderId="0" xfId="0" applyFont="1" applyFill="1" applyAlignment="1">
      <alignment horizontal="center"/>
    </xf>
    <xf numFmtId="9" fontId="4" fillId="3" borderId="0" xfId="1" applyFont="1" applyFill="1" applyAlignment="1">
      <alignment horizontal="center"/>
    </xf>
    <xf numFmtId="0" fontId="5" fillId="0" borderId="0" xfId="0" applyFont="1"/>
  </cellXfs>
  <cellStyles count="2">
    <cellStyle name="Normal" xfId="0" builtinId="0"/>
    <cellStyle name="Percent" xfId="1" builtinId="5"/>
  </cellStyles>
  <dxfs count="21">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2" formatCode="0.00"/>
    </dxf>
    <dxf>
      <font>
        <b/>
        <color theme="1"/>
      </font>
      <border>
        <bottom style="thin">
          <color theme="5"/>
        </bottom>
        <vertical/>
        <horizontal/>
      </border>
    </dxf>
    <dxf>
      <font>
        <sz val="7"/>
        <color theme="1"/>
      </font>
      <border diagonalUp="0" diagonalDown="0">
        <left/>
        <right/>
        <top/>
        <bottom/>
        <vertical/>
        <horizontal/>
      </border>
    </dxf>
    <dxf>
      <font>
        <b/>
        <color theme="1"/>
      </font>
      <border>
        <bottom style="thin">
          <color theme="5"/>
        </bottom>
        <vertical/>
        <horizontal/>
      </border>
    </dxf>
    <dxf>
      <font>
        <sz val="7"/>
        <color theme="1"/>
      </font>
      <fill>
        <patternFill>
          <bgColor theme="0" tint="-4.9989318521683403E-2"/>
        </patternFill>
      </fill>
      <border diagonalUp="0" diagonalDown="0">
        <left/>
        <right/>
        <top/>
        <bottom/>
        <vertical/>
        <horizontal/>
      </border>
    </dxf>
  </dxfs>
  <tableStyles count="2" defaultTableStyle="TableStyleMedium2" defaultPivotStyle="PivotStyleLight16">
    <tableStyle name="My Style" pivot="0" table="0" count="10" xr9:uid="{68D82033-61A1-4B48-8FB9-4A10DCF231B8}">
      <tableStyleElement type="wholeTable" dxfId="20"/>
      <tableStyleElement type="headerRow" dxfId="19"/>
    </tableStyle>
    <tableStyle name="SlicerStyleDark2 2" pivot="0" table="0" count="10" xr9:uid="{BAFEC9BC-5E68-42C9-8944-2717F1A73850}">
      <tableStyleElement type="wholeTable" dxfId="18"/>
      <tableStyleElement type="headerRow" dxfId="17"/>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938907696617646E-2"/>
          <c:y val="0.42271268514020521"/>
          <c:w val="0.71802102545435842"/>
          <c:h val="0.32085752649386673"/>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Report'!$E$5:$E$36</c:f>
              <c:numCache>
                <c:formatCode>General</c:formatCode>
                <c:ptCount val="31"/>
                <c:pt idx="0">
                  <c:v>14</c:v>
                </c:pt>
                <c:pt idx="1">
                  <c:v>15</c:v>
                </c:pt>
                <c:pt idx="2">
                  <c:v>17</c:v>
                </c:pt>
                <c:pt idx="3">
                  <c:v>12</c:v>
                </c:pt>
                <c:pt idx="4">
                  <c:v>23</c:v>
                </c:pt>
                <c:pt idx="5">
                  <c:v>10</c:v>
                </c:pt>
                <c:pt idx="6">
                  <c:v>18</c:v>
                </c:pt>
                <c:pt idx="7">
                  <c:v>11</c:v>
                </c:pt>
                <c:pt idx="8">
                  <c:v>12</c:v>
                </c:pt>
                <c:pt idx="9">
                  <c:v>24</c:v>
                </c:pt>
                <c:pt idx="10">
                  <c:v>16</c:v>
                </c:pt>
                <c:pt idx="11">
                  <c:v>21</c:v>
                </c:pt>
                <c:pt idx="12">
                  <c:v>16</c:v>
                </c:pt>
                <c:pt idx="13">
                  <c:v>15</c:v>
                </c:pt>
                <c:pt idx="14">
                  <c:v>14</c:v>
                </c:pt>
                <c:pt idx="15">
                  <c:v>18</c:v>
                </c:pt>
                <c:pt idx="16">
                  <c:v>12</c:v>
                </c:pt>
                <c:pt idx="17">
                  <c:v>18</c:v>
                </c:pt>
                <c:pt idx="18">
                  <c:v>16</c:v>
                </c:pt>
                <c:pt idx="19">
                  <c:v>22</c:v>
                </c:pt>
                <c:pt idx="20">
                  <c:v>16</c:v>
                </c:pt>
                <c:pt idx="21">
                  <c:v>10</c:v>
                </c:pt>
                <c:pt idx="22">
                  <c:v>18</c:v>
                </c:pt>
                <c:pt idx="23">
                  <c:v>13</c:v>
                </c:pt>
                <c:pt idx="24">
                  <c:v>20</c:v>
                </c:pt>
                <c:pt idx="25">
                  <c:v>17</c:v>
                </c:pt>
                <c:pt idx="26">
                  <c:v>19</c:v>
                </c:pt>
                <c:pt idx="27">
                  <c:v>17</c:v>
                </c:pt>
                <c:pt idx="28">
                  <c:v>22</c:v>
                </c:pt>
                <c:pt idx="29">
                  <c:v>9</c:v>
                </c:pt>
                <c:pt idx="30">
                  <c:v>9</c:v>
                </c:pt>
              </c:numCache>
            </c:numRef>
          </c:val>
          <c:extLst>
            <c:ext xmlns:c16="http://schemas.microsoft.com/office/drawing/2014/chart" uri="{C3380CC4-5D6E-409C-BE32-E72D297353CC}">
              <c16:uniqueId val="{00000002-75ED-4B0F-A400-6D4A8DDED8A7}"/>
            </c:ext>
          </c:extLst>
        </c:ser>
        <c:dLbls>
          <c:showLegendKey val="0"/>
          <c:showVal val="0"/>
          <c:showCatName val="0"/>
          <c:showSerName val="0"/>
          <c:showPercent val="0"/>
          <c:showBubbleSize val="0"/>
        </c:dLbls>
        <c:axId val="954799136"/>
        <c:axId val="1960618032"/>
      </c:areaChart>
      <c:catAx>
        <c:axId val="954799136"/>
        <c:scaling>
          <c:orientation val="minMax"/>
        </c:scaling>
        <c:delete val="1"/>
        <c:axPos val="b"/>
        <c:numFmt formatCode="General" sourceLinked="1"/>
        <c:majorTickMark val="out"/>
        <c:minorTickMark val="none"/>
        <c:tickLblPos val="nextTo"/>
        <c:crossAx val="1960618032"/>
        <c:crosses val="autoZero"/>
        <c:auto val="1"/>
        <c:lblAlgn val="ctr"/>
        <c:lblOffset val="100"/>
        <c:noMultiLvlLbl val="0"/>
      </c:catAx>
      <c:valAx>
        <c:axId val="1960618032"/>
        <c:scaling>
          <c:orientation val="minMax"/>
        </c:scaling>
        <c:delete val="1"/>
        <c:axPos val="l"/>
        <c:numFmt formatCode="General" sourceLinked="1"/>
        <c:majorTickMark val="none"/>
        <c:minorTickMark val="none"/>
        <c:tickLblPos val="nextTo"/>
        <c:crossAx val="9547991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000015118114997E-2"/>
          <c:y val="0.13497602803681227"/>
          <c:w val="0.90399996976376984"/>
          <c:h val="0.37341459540876254"/>
        </c:manualLayout>
      </c:layout>
      <c:areaChart>
        <c:grouping val="standard"/>
        <c:varyColors val="0"/>
        <c:ser>
          <c:idx val="0"/>
          <c:order val="0"/>
          <c:tx>
            <c:strRef>
              <c:f>'Pivot Report'!$K$4</c:f>
              <c:strCache>
                <c:ptCount val="1"/>
                <c:pt idx="0">
                  <c:v>Total</c:v>
                </c:pt>
              </c:strCache>
            </c:strRef>
          </c:tx>
          <c:spPr>
            <a:solidFill>
              <a:schemeClr val="accent1"/>
            </a:solidFill>
            <a:ln w="25400">
              <a:noFill/>
            </a:ln>
            <a:effectLst/>
          </c:spPr>
          <c:cat>
            <c:strRef>
              <c:f>'Pivot Report'!$J$5:$J$36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Report'!$K$5:$K$36</c:f>
              <c:numCache>
                <c:formatCode>0.00</c:formatCode>
                <c:ptCount val="31"/>
                <c:pt idx="0">
                  <c:v>35.714285714285715</c:v>
                </c:pt>
                <c:pt idx="1">
                  <c:v>38.533333333333331</c:v>
                </c:pt>
                <c:pt idx="2">
                  <c:v>38.941176470588232</c:v>
                </c:pt>
                <c:pt idx="3">
                  <c:v>35.666666666666664</c:v>
                </c:pt>
                <c:pt idx="4">
                  <c:v>39.478260869565219</c:v>
                </c:pt>
                <c:pt idx="5">
                  <c:v>25.1</c:v>
                </c:pt>
                <c:pt idx="6">
                  <c:v>43.666666666666664</c:v>
                </c:pt>
                <c:pt idx="7">
                  <c:v>38.090909090909093</c:v>
                </c:pt>
                <c:pt idx="8">
                  <c:v>28.25</c:v>
                </c:pt>
                <c:pt idx="9">
                  <c:v>36.291666666666664</c:v>
                </c:pt>
                <c:pt idx="10">
                  <c:v>31.875</c:v>
                </c:pt>
                <c:pt idx="11">
                  <c:v>32.333333333333336</c:v>
                </c:pt>
                <c:pt idx="12">
                  <c:v>36.3125</c:v>
                </c:pt>
                <c:pt idx="13">
                  <c:v>41.133333333333333</c:v>
                </c:pt>
                <c:pt idx="14">
                  <c:v>32.071428571428569</c:v>
                </c:pt>
                <c:pt idx="15">
                  <c:v>34.222222222222221</c:v>
                </c:pt>
                <c:pt idx="16">
                  <c:v>43.666666666666664</c:v>
                </c:pt>
                <c:pt idx="17">
                  <c:v>38.5</c:v>
                </c:pt>
                <c:pt idx="18">
                  <c:v>32.6875</c:v>
                </c:pt>
                <c:pt idx="19">
                  <c:v>41.045454545454547</c:v>
                </c:pt>
                <c:pt idx="20">
                  <c:v>36.6875</c:v>
                </c:pt>
                <c:pt idx="21">
                  <c:v>38.5</c:v>
                </c:pt>
                <c:pt idx="22">
                  <c:v>33.777777777777779</c:v>
                </c:pt>
                <c:pt idx="23">
                  <c:v>41.692307692307693</c:v>
                </c:pt>
                <c:pt idx="24">
                  <c:v>31.7</c:v>
                </c:pt>
                <c:pt idx="25">
                  <c:v>36.470588235294116</c:v>
                </c:pt>
                <c:pt idx="26">
                  <c:v>37.210526315789473</c:v>
                </c:pt>
                <c:pt idx="27">
                  <c:v>36.294117647058826</c:v>
                </c:pt>
                <c:pt idx="28">
                  <c:v>32</c:v>
                </c:pt>
                <c:pt idx="29">
                  <c:v>41.444444444444443</c:v>
                </c:pt>
                <c:pt idx="30">
                  <c:v>40.444444444444443</c:v>
                </c:pt>
              </c:numCache>
            </c:numRef>
          </c:val>
          <c:extLst>
            <c:ext xmlns:c16="http://schemas.microsoft.com/office/drawing/2014/chart" uri="{C3380CC4-5D6E-409C-BE32-E72D297353CC}">
              <c16:uniqueId val="{00000002-0F5B-410B-91A2-2C620170A9C9}"/>
            </c:ext>
          </c:extLst>
        </c:ser>
        <c:dLbls>
          <c:showLegendKey val="0"/>
          <c:showVal val="0"/>
          <c:showCatName val="0"/>
          <c:showSerName val="0"/>
          <c:showPercent val="0"/>
          <c:showBubbleSize val="0"/>
        </c:dLbls>
        <c:axId val="1335127248"/>
        <c:axId val="1335124848"/>
      </c:areaChart>
      <c:catAx>
        <c:axId val="1335127248"/>
        <c:scaling>
          <c:orientation val="minMax"/>
        </c:scaling>
        <c:delete val="1"/>
        <c:axPos val="b"/>
        <c:numFmt formatCode="General" sourceLinked="1"/>
        <c:majorTickMark val="out"/>
        <c:minorTickMark val="none"/>
        <c:tickLblPos val="nextTo"/>
        <c:crossAx val="1335124848"/>
        <c:crosses val="autoZero"/>
        <c:auto val="1"/>
        <c:lblAlgn val="ctr"/>
        <c:lblOffset val="100"/>
        <c:noMultiLvlLbl val="0"/>
      </c:catAx>
      <c:valAx>
        <c:axId val="1335124848"/>
        <c:scaling>
          <c:orientation val="minMax"/>
        </c:scaling>
        <c:delete val="1"/>
        <c:axPos val="l"/>
        <c:numFmt formatCode="0.00" sourceLinked="1"/>
        <c:majorTickMark val="none"/>
        <c:minorTickMark val="none"/>
        <c:tickLblPos val="nextTo"/>
        <c:crossAx val="13351272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229622851003165E-2"/>
          <c:y val="0.5777628317009994"/>
          <c:w val="0.89894282160604688"/>
          <c:h val="0.37436709333412993"/>
        </c:manualLayout>
      </c:layout>
      <c:areaChart>
        <c:grouping val="standard"/>
        <c:varyColors val="0"/>
        <c:ser>
          <c:idx val="0"/>
          <c:order val="0"/>
          <c:tx>
            <c:strRef>
              <c:f>'Pivot Report'!$P$4</c:f>
              <c:strCache>
                <c:ptCount val="1"/>
                <c:pt idx="0">
                  <c:v>Total</c:v>
                </c:pt>
              </c:strCache>
            </c:strRef>
          </c:tx>
          <c:spPr>
            <a:solidFill>
              <a:schemeClr val="accent1"/>
            </a:solidFill>
            <a:ln w="25400">
              <a:noFill/>
            </a:ln>
            <a:effectLst/>
          </c:spPr>
          <c:cat>
            <c:strRef>
              <c:f>'Pivot Report'!$O$5:$O$36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Report'!$P$5:$P$36</c:f>
              <c:numCache>
                <c:formatCode>0.00</c:formatCode>
                <c:ptCount val="31"/>
                <c:pt idx="0">
                  <c:v>8</c:v>
                </c:pt>
                <c:pt idx="1">
                  <c:v>4</c:v>
                </c:pt>
                <c:pt idx="2">
                  <c:v>5.333333333333333</c:v>
                </c:pt>
                <c:pt idx="3">
                  <c:v>4.666666666666667</c:v>
                </c:pt>
                <c:pt idx="4">
                  <c:v>6.2</c:v>
                </c:pt>
                <c:pt idx="5">
                  <c:v>6.333333333333333</c:v>
                </c:pt>
                <c:pt idx="6">
                  <c:v>9.5</c:v>
                </c:pt>
                <c:pt idx="7">
                  <c:v>2</c:v>
                </c:pt>
                <c:pt idx="8">
                  <c:v>6.666666666666667</c:v>
                </c:pt>
                <c:pt idx="9">
                  <c:v>2.25</c:v>
                </c:pt>
                <c:pt idx="10">
                  <c:v>3</c:v>
                </c:pt>
                <c:pt idx="11">
                  <c:v>4.7142857142857144</c:v>
                </c:pt>
                <c:pt idx="12">
                  <c:v>10</c:v>
                </c:pt>
                <c:pt idx="13">
                  <c:v>5.666666666666667</c:v>
                </c:pt>
                <c:pt idx="14">
                  <c:v>5</c:v>
                </c:pt>
                <c:pt idx="15">
                  <c:v>3</c:v>
                </c:pt>
                <c:pt idx="16">
                  <c:v>5.333333333333333</c:v>
                </c:pt>
                <c:pt idx="17">
                  <c:v>5.833333333333333</c:v>
                </c:pt>
                <c:pt idx="18">
                  <c:v>5.8</c:v>
                </c:pt>
                <c:pt idx="19">
                  <c:v>5.2</c:v>
                </c:pt>
                <c:pt idx="20">
                  <c:v>4.5</c:v>
                </c:pt>
                <c:pt idx="21">
                  <c:v>6</c:v>
                </c:pt>
                <c:pt idx="22">
                  <c:v>6.5</c:v>
                </c:pt>
                <c:pt idx="23">
                  <c:v>4.166666666666667</c:v>
                </c:pt>
                <c:pt idx="24">
                  <c:v>3.6666666666666665</c:v>
                </c:pt>
                <c:pt idx="25">
                  <c:v>3.5</c:v>
                </c:pt>
                <c:pt idx="26">
                  <c:v>6</c:v>
                </c:pt>
                <c:pt idx="27">
                  <c:v>5.1428571428571432</c:v>
                </c:pt>
                <c:pt idx="28">
                  <c:v>4</c:v>
                </c:pt>
                <c:pt idx="29">
                  <c:v>3.5</c:v>
                </c:pt>
                <c:pt idx="30">
                  <c:v>5</c:v>
                </c:pt>
              </c:numCache>
            </c:numRef>
          </c:val>
          <c:extLst>
            <c:ext xmlns:c16="http://schemas.microsoft.com/office/drawing/2014/chart" uri="{C3380CC4-5D6E-409C-BE32-E72D297353CC}">
              <c16:uniqueId val="{00000002-63A3-4A41-84B9-D598BEA7EF21}"/>
            </c:ext>
          </c:extLst>
        </c:ser>
        <c:dLbls>
          <c:showLegendKey val="0"/>
          <c:showVal val="0"/>
          <c:showCatName val="0"/>
          <c:showSerName val="0"/>
          <c:showPercent val="0"/>
          <c:showBubbleSize val="0"/>
        </c:dLbls>
        <c:axId val="312721296"/>
        <c:axId val="312719376"/>
      </c:areaChart>
      <c:catAx>
        <c:axId val="312721296"/>
        <c:scaling>
          <c:orientation val="minMax"/>
        </c:scaling>
        <c:delete val="1"/>
        <c:axPos val="b"/>
        <c:numFmt formatCode="General" sourceLinked="1"/>
        <c:majorTickMark val="out"/>
        <c:minorTickMark val="none"/>
        <c:tickLblPos val="nextTo"/>
        <c:crossAx val="312719376"/>
        <c:crosses val="autoZero"/>
        <c:auto val="1"/>
        <c:lblAlgn val="ctr"/>
        <c:lblOffset val="100"/>
        <c:noMultiLvlLbl val="0"/>
      </c:catAx>
      <c:valAx>
        <c:axId val="312719376"/>
        <c:scaling>
          <c:orientation val="minMax"/>
        </c:scaling>
        <c:delete val="1"/>
        <c:axPos val="l"/>
        <c:numFmt formatCode="0.00" sourceLinked="1"/>
        <c:majorTickMark val="none"/>
        <c:minorTickMark val="none"/>
        <c:tickLblPos val="nextTo"/>
        <c:crossAx val="3127212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Report!PivotTable8</c:name>
    <c:fmtId val="9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407407407407407E-2"/>
          <c:w val="0.93888888888888888"/>
          <c:h val="0.84204505686789155"/>
        </c:manualLayout>
      </c:layout>
      <c:barChart>
        <c:barDir val="col"/>
        <c:grouping val="clustered"/>
        <c:varyColors val="0"/>
        <c:ser>
          <c:idx val="0"/>
          <c:order val="0"/>
          <c:tx>
            <c:strRef>
              <c:f>'Pivot Report'!$J$44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Report'!$I$45:$I$53</c:f>
              <c:strCache>
                <c:ptCount val="8"/>
                <c:pt idx="0">
                  <c:v>0-09</c:v>
                </c:pt>
                <c:pt idx="1">
                  <c:v>10-19</c:v>
                </c:pt>
                <c:pt idx="2">
                  <c:v>20-29</c:v>
                </c:pt>
                <c:pt idx="3">
                  <c:v>30-39</c:v>
                </c:pt>
                <c:pt idx="4">
                  <c:v>40-49</c:v>
                </c:pt>
                <c:pt idx="5">
                  <c:v>50-59</c:v>
                </c:pt>
                <c:pt idx="6">
                  <c:v>60-69</c:v>
                </c:pt>
                <c:pt idx="7">
                  <c:v>70-79</c:v>
                </c:pt>
              </c:strCache>
            </c:strRef>
          </c:cat>
          <c:val>
            <c:numRef>
              <c:f>'Pivot Report'!$J$45:$J$53</c:f>
              <c:numCache>
                <c:formatCode>0</c:formatCode>
                <c:ptCount val="8"/>
                <c:pt idx="0">
                  <c:v>70</c:v>
                </c:pt>
                <c:pt idx="1">
                  <c:v>73</c:v>
                </c:pt>
                <c:pt idx="2">
                  <c:v>58</c:v>
                </c:pt>
                <c:pt idx="3">
                  <c:v>73</c:v>
                </c:pt>
                <c:pt idx="4">
                  <c:v>55</c:v>
                </c:pt>
                <c:pt idx="5">
                  <c:v>51</c:v>
                </c:pt>
                <c:pt idx="6">
                  <c:v>67</c:v>
                </c:pt>
                <c:pt idx="7">
                  <c:v>47</c:v>
                </c:pt>
              </c:numCache>
            </c:numRef>
          </c:val>
          <c:extLst>
            <c:ext xmlns:c16="http://schemas.microsoft.com/office/drawing/2014/chart" uri="{C3380CC4-5D6E-409C-BE32-E72D297353CC}">
              <c16:uniqueId val="{00000002-A748-48E7-A01C-4225EC1DC91D}"/>
            </c:ext>
          </c:extLst>
        </c:ser>
        <c:dLbls>
          <c:showLegendKey val="0"/>
          <c:showVal val="0"/>
          <c:showCatName val="0"/>
          <c:showSerName val="0"/>
          <c:showPercent val="0"/>
          <c:showBubbleSize val="0"/>
        </c:dLbls>
        <c:gapWidth val="219"/>
        <c:overlap val="-27"/>
        <c:axId val="302554240"/>
        <c:axId val="302555680"/>
      </c:barChart>
      <c:catAx>
        <c:axId val="30255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02555680"/>
        <c:crosses val="autoZero"/>
        <c:auto val="1"/>
        <c:lblAlgn val="ctr"/>
        <c:lblOffset val="100"/>
        <c:noMultiLvlLbl val="0"/>
      </c:catAx>
      <c:valAx>
        <c:axId val="302555680"/>
        <c:scaling>
          <c:orientation val="minMax"/>
        </c:scaling>
        <c:delete val="1"/>
        <c:axPos val="l"/>
        <c:numFmt formatCode="0" sourceLinked="1"/>
        <c:majorTickMark val="none"/>
        <c:minorTickMark val="none"/>
        <c:tickLblPos val="nextTo"/>
        <c:crossAx val="30255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Report!PivotTable9</c:name>
    <c:fmtId val="9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7635462878019514"/>
          <c:y val="0.18536740746480024"/>
          <c:w val="0.57093143328324703"/>
          <c:h val="0.70614147489493906"/>
        </c:manualLayout>
      </c:layout>
      <c:pieChart>
        <c:varyColors val="1"/>
        <c:ser>
          <c:idx val="0"/>
          <c:order val="0"/>
          <c:tx>
            <c:strRef>
              <c:f>'Pivot Report'!$J$56</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A97E-43A7-A539-0F6CA767A16F}"/>
              </c:ext>
            </c:extLst>
          </c:dPt>
          <c:dPt>
            <c:idx val="1"/>
            <c:bubble3D val="0"/>
            <c:spPr>
              <a:solidFill>
                <a:schemeClr val="accent2"/>
              </a:solidFill>
              <a:ln>
                <a:noFill/>
              </a:ln>
              <a:effectLst/>
            </c:spPr>
            <c:extLst>
              <c:ext xmlns:c16="http://schemas.microsoft.com/office/drawing/2014/chart" uri="{C3380CC4-5D6E-409C-BE32-E72D297353CC}">
                <c16:uniqueId val="{00000003-A97E-43A7-A539-0F6CA767A16F}"/>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Report'!$I$57:$I$59</c:f>
              <c:strCache>
                <c:ptCount val="2"/>
                <c:pt idx="0">
                  <c:v>Delay</c:v>
                </c:pt>
                <c:pt idx="1">
                  <c:v>Ontime</c:v>
                </c:pt>
              </c:strCache>
            </c:strRef>
          </c:cat>
          <c:val>
            <c:numRef>
              <c:f>'Pivot Report'!$J$57:$J$59</c:f>
              <c:numCache>
                <c:formatCode>0</c:formatCode>
                <c:ptCount val="2"/>
                <c:pt idx="0">
                  <c:v>307</c:v>
                </c:pt>
                <c:pt idx="1">
                  <c:v>187</c:v>
                </c:pt>
              </c:numCache>
            </c:numRef>
          </c:val>
          <c:extLst>
            <c:ext xmlns:c16="http://schemas.microsoft.com/office/drawing/2014/chart" uri="{C3380CC4-5D6E-409C-BE32-E72D297353CC}">
              <c16:uniqueId val="{00000006-9ABE-4072-ADDE-FC54CE6D50E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8.2804717277746812E-2"/>
          <c:y val="4.3496811273902296E-3"/>
          <c:w val="0.73065885785836027"/>
          <c:h val="0.2173260397775285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Report!PivotTable10</c:name>
    <c:fmtId val="102"/>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9757223286935416"/>
          <c:y val="0.18892712486191865"/>
          <c:w val="0.54214540077057227"/>
          <c:h val="0.61940685247228133"/>
        </c:manualLayout>
      </c:layout>
      <c:doughnutChart>
        <c:varyColors val="1"/>
        <c:ser>
          <c:idx val="0"/>
          <c:order val="0"/>
          <c:tx>
            <c:strRef>
              <c:f>'Pivot Report'!$E$55</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CC76-408C-BEAD-6507866CC248}"/>
              </c:ext>
            </c:extLst>
          </c:dPt>
          <c:dPt>
            <c:idx val="1"/>
            <c:bubble3D val="0"/>
            <c:spPr>
              <a:solidFill>
                <a:schemeClr val="accent2"/>
              </a:solidFill>
              <a:ln>
                <a:noFill/>
              </a:ln>
              <a:effectLst/>
            </c:spPr>
            <c:extLst>
              <c:ext xmlns:c16="http://schemas.microsoft.com/office/drawing/2014/chart" uri="{C3380CC4-5D6E-409C-BE32-E72D297353CC}">
                <c16:uniqueId val="{00000003-CC76-408C-BEAD-6507866CC248}"/>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Report'!$D$56:$D$58</c:f>
              <c:strCache>
                <c:ptCount val="2"/>
                <c:pt idx="0">
                  <c:v>Female</c:v>
                </c:pt>
                <c:pt idx="1">
                  <c:v>Male</c:v>
                </c:pt>
              </c:strCache>
            </c:strRef>
          </c:cat>
          <c:val>
            <c:numRef>
              <c:f>'Pivot Report'!$E$56:$E$58</c:f>
              <c:numCache>
                <c:formatCode>0</c:formatCode>
                <c:ptCount val="2"/>
                <c:pt idx="0">
                  <c:v>241</c:v>
                </c:pt>
                <c:pt idx="1">
                  <c:v>253</c:v>
                </c:pt>
              </c:numCache>
            </c:numRef>
          </c:val>
          <c:extLst>
            <c:ext xmlns:c16="http://schemas.microsoft.com/office/drawing/2014/chart" uri="{C3380CC4-5D6E-409C-BE32-E72D297353CC}">
              <c16:uniqueId val="{00000006-93CF-49FF-BBD5-F91B9B07F83D}"/>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0.14734378004867471"/>
          <c:y val="4.0225051785246171E-2"/>
          <c:w val="0.67029888209883193"/>
          <c:h val="0.16166603215112807"/>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Report!PivotTable11</c:name>
    <c:fmtId val="10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92418786526819"/>
          <c:y val="9.1358362167567056E-2"/>
          <c:w val="0.69690580628077137"/>
          <c:h val="0.85050449827125385"/>
        </c:manualLayout>
      </c:layout>
      <c:barChart>
        <c:barDir val="bar"/>
        <c:grouping val="clustered"/>
        <c:varyColors val="0"/>
        <c:ser>
          <c:idx val="0"/>
          <c:order val="0"/>
          <c:tx>
            <c:strRef>
              <c:f>'Pivot Report'!$N$47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Report'!$M$48:$M$56</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 Report'!$N$48:$N$56</c:f>
              <c:numCache>
                <c:formatCode>0</c:formatCode>
                <c:ptCount val="8"/>
                <c:pt idx="0">
                  <c:v>6</c:v>
                </c:pt>
                <c:pt idx="1">
                  <c:v>8</c:v>
                </c:pt>
                <c:pt idx="2">
                  <c:v>8</c:v>
                </c:pt>
                <c:pt idx="3">
                  <c:v>11</c:v>
                </c:pt>
                <c:pt idx="4">
                  <c:v>17</c:v>
                </c:pt>
                <c:pt idx="5">
                  <c:v>49</c:v>
                </c:pt>
                <c:pt idx="6">
                  <c:v>92</c:v>
                </c:pt>
                <c:pt idx="7">
                  <c:v>303</c:v>
                </c:pt>
              </c:numCache>
            </c:numRef>
          </c:val>
          <c:extLst>
            <c:ext xmlns:c16="http://schemas.microsoft.com/office/drawing/2014/chart" uri="{C3380CC4-5D6E-409C-BE32-E72D297353CC}">
              <c16:uniqueId val="{00000002-915E-4D8A-B93A-2EEED0BE89B0}"/>
            </c:ext>
          </c:extLst>
        </c:ser>
        <c:dLbls>
          <c:showLegendKey val="0"/>
          <c:showVal val="0"/>
          <c:showCatName val="0"/>
          <c:showSerName val="0"/>
          <c:showPercent val="0"/>
          <c:showBubbleSize val="0"/>
        </c:dLbls>
        <c:gapWidth val="30"/>
        <c:axId val="1052411264"/>
        <c:axId val="1052408384"/>
      </c:barChart>
      <c:catAx>
        <c:axId val="105241126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052408384"/>
        <c:crosses val="autoZero"/>
        <c:auto val="1"/>
        <c:lblAlgn val="ctr"/>
        <c:lblOffset val="100"/>
        <c:noMultiLvlLbl val="0"/>
      </c:catAx>
      <c:valAx>
        <c:axId val="1052408384"/>
        <c:scaling>
          <c:orientation val="minMax"/>
        </c:scaling>
        <c:delete val="1"/>
        <c:axPos val="b"/>
        <c:numFmt formatCode="0" sourceLinked="1"/>
        <c:majorTickMark val="none"/>
        <c:minorTickMark val="none"/>
        <c:tickLblPos val="nextTo"/>
        <c:crossAx val="105241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Report!PivotTable4</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302819255194267E-2"/>
          <c:y val="0.10983223296612867"/>
          <c:w val="0.89062129326627859"/>
          <c:h val="0.63373744552714772"/>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Report'!$E$5:$E$36</c:f>
              <c:numCache>
                <c:formatCode>General</c:formatCode>
                <c:ptCount val="31"/>
                <c:pt idx="0">
                  <c:v>14</c:v>
                </c:pt>
                <c:pt idx="1">
                  <c:v>15</c:v>
                </c:pt>
                <c:pt idx="2">
                  <c:v>17</c:v>
                </c:pt>
                <c:pt idx="3">
                  <c:v>12</c:v>
                </c:pt>
                <c:pt idx="4">
                  <c:v>23</c:v>
                </c:pt>
                <c:pt idx="5">
                  <c:v>10</c:v>
                </c:pt>
                <c:pt idx="6">
                  <c:v>18</c:v>
                </c:pt>
                <c:pt idx="7">
                  <c:v>11</c:v>
                </c:pt>
                <c:pt idx="8">
                  <c:v>12</c:v>
                </c:pt>
                <c:pt idx="9">
                  <c:v>24</c:v>
                </c:pt>
                <c:pt idx="10">
                  <c:v>16</c:v>
                </c:pt>
                <c:pt idx="11">
                  <c:v>21</c:v>
                </c:pt>
                <c:pt idx="12">
                  <c:v>16</c:v>
                </c:pt>
                <c:pt idx="13">
                  <c:v>15</c:v>
                </c:pt>
                <c:pt idx="14">
                  <c:v>14</c:v>
                </c:pt>
                <c:pt idx="15">
                  <c:v>18</c:v>
                </c:pt>
                <c:pt idx="16">
                  <c:v>12</c:v>
                </c:pt>
                <c:pt idx="17">
                  <c:v>18</c:v>
                </c:pt>
                <c:pt idx="18">
                  <c:v>16</c:v>
                </c:pt>
                <c:pt idx="19">
                  <c:v>22</c:v>
                </c:pt>
                <c:pt idx="20">
                  <c:v>16</c:v>
                </c:pt>
                <c:pt idx="21">
                  <c:v>10</c:v>
                </c:pt>
                <c:pt idx="22">
                  <c:v>18</c:v>
                </c:pt>
                <c:pt idx="23">
                  <c:v>13</c:v>
                </c:pt>
                <c:pt idx="24">
                  <c:v>20</c:v>
                </c:pt>
                <c:pt idx="25">
                  <c:v>17</c:v>
                </c:pt>
                <c:pt idx="26">
                  <c:v>19</c:v>
                </c:pt>
                <c:pt idx="27">
                  <c:v>17</c:v>
                </c:pt>
                <c:pt idx="28">
                  <c:v>22</c:v>
                </c:pt>
                <c:pt idx="29">
                  <c:v>9</c:v>
                </c:pt>
                <c:pt idx="30">
                  <c:v>9</c:v>
                </c:pt>
              </c:numCache>
            </c:numRef>
          </c:val>
          <c:extLst>
            <c:ext xmlns:c16="http://schemas.microsoft.com/office/drawing/2014/chart" uri="{C3380CC4-5D6E-409C-BE32-E72D297353CC}">
              <c16:uniqueId val="{00000001-C07B-46D8-A2E2-1645EC28172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54799136"/>
        <c:axId val="1960618032"/>
      </c:areaChart>
      <c:catAx>
        <c:axId val="95479913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1960618032"/>
        <c:crosses val="autoZero"/>
        <c:auto val="1"/>
        <c:lblAlgn val="ctr"/>
        <c:lblOffset val="100"/>
        <c:noMultiLvlLbl val="0"/>
      </c:catAx>
      <c:valAx>
        <c:axId val="1960618032"/>
        <c:scaling>
          <c:orientation val="minMax"/>
        </c:scaling>
        <c:delete val="1"/>
        <c:axPos val="l"/>
        <c:numFmt formatCode="General" sourceLinked="1"/>
        <c:majorTickMark val="out"/>
        <c:minorTickMark val="none"/>
        <c:tickLblPos val="nextTo"/>
        <c:crossAx val="9547991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000015118114997E-2"/>
          <c:y val="0.13497602803681227"/>
          <c:w val="0.90399996976376984"/>
          <c:h val="0.59929708198239928"/>
        </c:manualLayout>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Report'!$K$5:$K$36</c:f>
              <c:numCache>
                <c:formatCode>0.00</c:formatCode>
                <c:ptCount val="31"/>
                <c:pt idx="0">
                  <c:v>35.714285714285715</c:v>
                </c:pt>
                <c:pt idx="1">
                  <c:v>38.533333333333331</c:v>
                </c:pt>
                <c:pt idx="2">
                  <c:v>38.941176470588232</c:v>
                </c:pt>
                <c:pt idx="3">
                  <c:v>35.666666666666664</c:v>
                </c:pt>
                <c:pt idx="4">
                  <c:v>39.478260869565219</c:v>
                </c:pt>
                <c:pt idx="5">
                  <c:v>25.1</c:v>
                </c:pt>
                <c:pt idx="6">
                  <c:v>43.666666666666664</c:v>
                </c:pt>
                <c:pt idx="7">
                  <c:v>38.090909090909093</c:v>
                </c:pt>
                <c:pt idx="8">
                  <c:v>28.25</c:v>
                </c:pt>
                <c:pt idx="9">
                  <c:v>36.291666666666664</c:v>
                </c:pt>
                <c:pt idx="10">
                  <c:v>31.875</c:v>
                </c:pt>
                <c:pt idx="11">
                  <c:v>32.333333333333336</c:v>
                </c:pt>
                <c:pt idx="12">
                  <c:v>36.3125</c:v>
                </c:pt>
                <c:pt idx="13">
                  <c:v>41.133333333333333</c:v>
                </c:pt>
                <c:pt idx="14">
                  <c:v>32.071428571428569</c:v>
                </c:pt>
                <c:pt idx="15">
                  <c:v>34.222222222222221</c:v>
                </c:pt>
                <c:pt idx="16">
                  <c:v>43.666666666666664</c:v>
                </c:pt>
                <c:pt idx="17">
                  <c:v>38.5</c:v>
                </c:pt>
                <c:pt idx="18">
                  <c:v>32.6875</c:v>
                </c:pt>
                <c:pt idx="19">
                  <c:v>41.045454545454547</c:v>
                </c:pt>
                <c:pt idx="20">
                  <c:v>36.6875</c:v>
                </c:pt>
                <c:pt idx="21">
                  <c:v>38.5</c:v>
                </c:pt>
                <c:pt idx="22">
                  <c:v>33.777777777777779</c:v>
                </c:pt>
                <c:pt idx="23">
                  <c:v>41.692307692307693</c:v>
                </c:pt>
                <c:pt idx="24">
                  <c:v>31.7</c:v>
                </c:pt>
                <c:pt idx="25">
                  <c:v>36.470588235294116</c:v>
                </c:pt>
                <c:pt idx="26">
                  <c:v>37.210526315789473</c:v>
                </c:pt>
                <c:pt idx="27">
                  <c:v>36.294117647058826</c:v>
                </c:pt>
                <c:pt idx="28">
                  <c:v>32</c:v>
                </c:pt>
                <c:pt idx="29">
                  <c:v>41.444444444444443</c:v>
                </c:pt>
                <c:pt idx="30">
                  <c:v>40.444444444444443</c:v>
                </c:pt>
              </c:numCache>
            </c:numRef>
          </c:val>
          <c:extLst>
            <c:ext xmlns:c16="http://schemas.microsoft.com/office/drawing/2014/chart" uri="{C3380CC4-5D6E-409C-BE32-E72D297353CC}">
              <c16:uniqueId val="{00000002-F59E-4B30-AAE3-62F550CD841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35127248"/>
        <c:axId val="1335124848"/>
      </c:areaChart>
      <c:catAx>
        <c:axId val="133512724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crossAx val="1335124848"/>
        <c:crosses val="autoZero"/>
        <c:auto val="1"/>
        <c:lblAlgn val="ctr"/>
        <c:lblOffset val="100"/>
        <c:noMultiLvlLbl val="0"/>
      </c:catAx>
      <c:valAx>
        <c:axId val="1335124848"/>
        <c:scaling>
          <c:orientation val="minMax"/>
        </c:scaling>
        <c:delete val="1"/>
        <c:axPos val="l"/>
        <c:numFmt formatCode="0.00" sourceLinked="1"/>
        <c:majorTickMark val="out"/>
        <c:minorTickMark val="none"/>
        <c:tickLblPos val="nextTo"/>
        <c:crossAx val="13351272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Report'!$P$4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Report'!$O$5:$O$36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Report'!$P$5:$P$36</c:f>
              <c:numCache>
                <c:formatCode>0.00</c:formatCode>
                <c:ptCount val="31"/>
                <c:pt idx="0">
                  <c:v>8</c:v>
                </c:pt>
                <c:pt idx="1">
                  <c:v>4</c:v>
                </c:pt>
                <c:pt idx="2">
                  <c:v>5.333333333333333</c:v>
                </c:pt>
                <c:pt idx="3">
                  <c:v>4.666666666666667</c:v>
                </c:pt>
                <c:pt idx="4">
                  <c:v>6.2</c:v>
                </c:pt>
                <c:pt idx="5">
                  <c:v>6.333333333333333</c:v>
                </c:pt>
                <c:pt idx="6">
                  <c:v>9.5</c:v>
                </c:pt>
                <c:pt idx="7">
                  <c:v>2</c:v>
                </c:pt>
                <c:pt idx="8">
                  <c:v>6.666666666666667</c:v>
                </c:pt>
                <c:pt idx="9">
                  <c:v>2.25</c:v>
                </c:pt>
                <c:pt idx="10">
                  <c:v>3</c:v>
                </c:pt>
                <c:pt idx="11">
                  <c:v>4.7142857142857144</c:v>
                </c:pt>
                <c:pt idx="12">
                  <c:v>10</c:v>
                </c:pt>
                <c:pt idx="13">
                  <c:v>5.666666666666667</c:v>
                </c:pt>
                <c:pt idx="14">
                  <c:v>5</c:v>
                </c:pt>
                <c:pt idx="15">
                  <c:v>3</c:v>
                </c:pt>
                <c:pt idx="16">
                  <c:v>5.333333333333333</c:v>
                </c:pt>
                <c:pt idx="17">
                  <c:v>5.833333333333333</c:v>
                </c:pt>
                <c:pt idx="18">
                  <c:v>5.8</c:v>
                </c:pt>
                <c:pt idx="19">
                  <c:v>5.2</c:v>
                </c:pt>
                <c:pt idx="20">
                  <c:v>4.5</c:v>
                </c:pt>
                <c:pt idx="21">
                  <c:v>6</c:v>
                </c:pt>
                <c:pt idx="22">
                  <c:v>6.5</c:v>
                </c:pt>
                <c:pt idx="23">
                  <c:v>4.166666666666667</c:v>
                </c:pt>
                <c:pt idx="24">
                  <c:v>3.6666666666666665</c:v>
                </c:pt>
                <c:pt idx="25">
                  <c:v>3.5</c:v>
                </c:pt>
                <c:pt idx="26">
                  <c:v>6</c:v>
                </c:pt>
                <c:pt idx="27">
                  <c:v>5.1428571428571432</c:v>
                </c:pt>
                <c:pt idx="28">
                  <c:v>4</c:v>
                </c:pt>
                <c:pt idx="29">
                  <c:v>3.5</c:v>
                </c:pt>
                <c:pt idx="30">
                  <c:v>5</c:v>
                </c:pt>
              </c:numCache>
            </c:numRef>
          </c:val>
          <c:extLst>
            <c:ext xmlns:c16="http://schemas.microsoft.com/office/drawing/2014/chart" uri="{C3380CC4-5D6E-409C-BE32-E72D297353CC}">
              <c16:uniqueId val="{00000002-ACEE-41D2-BD80-6818B65D9E8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12721296"/>
        <c:axId val="312719376"/>
      </c:areaChart>
      <c:catAx>
        <c:axId val="31272129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312719376"/>
        <c:crosses val="autoZero"/>
        <c:auto val="1"/>
        <c:lblAlgn val="ctr"/>
        <c:lblOffset val="100"/>
        <c:noMultiLvlLbl val="0"/>
      </c:catAx>
      <c:valAx>
        <c:axId val="312719376"/>
        <c:scaling>
          <c:orientation val="minMax"/>
        </c:scaling>
        <c:delete val="1"/>
        <c:axPos val="l"/>
        <c:numFmt formatCode="0.00" sourceLinked="1"/>
        <c:majorTickMark val="out"/>
        <c:minorTickMark val="none"/>
        <c:tickLblPos val="nextTo"/>
        <c:crossAx val="3127212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Report!PivotTable7</c:name>
    <c:fmtId val="0"/>
  </c:pivotSource>
  <c:chart>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s>
    <c:plotArea>
      <c:layout>
        <c:manualLayout>
          <c:layoutTarget val="inner"/>
          <c:xMode val="edge"/>
          <c:yMode val="edge"/>
          <c:x val="0.24348206474190726"/>
          <c:y val="0.31192660550458717"/>
          <c:w val="0.59204558889598258"/>
          <c:h val="0.59633027522935778"/>
        </c:manualLayout>
      </c:layout>
      <c:barChart>
        <c:barDir val="bar"/>
        <c:grouping val="clustered"/>
        <c:varyColors val="0"/>
        <c:ser>
          <c:idx val="0"/>
          <c:order val="0"/>
          <c:tx>
            <c:strRef>
              <c:f>'Pivot Report'!$B$39</c:f>
              <c:strCache>
                <c:ptCount val="1"/>
                <c:pt idx="0">
                  <c:v>Count of Patient Admission Flag</c:v>
                </c:pt>
              </c:strCache>
            </c:strRef>
          </c:tx>
          <c:spPr>
            <a:solidFill>
              <a:schemeClr val="accent1"/>
            </a:solidFill>
            <a:ln>
              <a:noFill/>
            </a:ln>
            <a:effectLst/>
          </c:spPr>
          <c:invertIfNegative val="0"/>
          <c:cat>
            <c:strRef>
              <c:f>'Pivot Report'!$A$40:$A$42</c:f>
              <c:strCache>
                <c:ptCount val="2"/>
                <c:pt idx="0">
                  <c:v>Admitted</c:v>
                </c:pt>
                <c:pt idx="1">
                  <c:v>Not Admitted</c:v>
                </c:pt>
              </c:strCache>
            </c:strRef>
          </c:cat>
          <c:val>
            <c:numRef>
              <c:f>'Pivot Report'!$B$40:$B$42</c:f>
              <c:numCache>
                <c:formatCode>0</c:formatCode>
                <c:ptCount val="2"/>
                <c:pt idx="0">
                  <c:v>234</c:v>
                </c:pt>
                <c:pt idx="1">
                  <c:v>260</c:v>
                </c:pt>
              </c:numCache>
            </c:numRef>
          </c:val>
          <c:extLst>
            <c:ext xmlns:c16="http://schemas.microsoft.com/office/drawing/2014/chart" uri="{C3380CC4-5D6E-409C-BE32-E72D297353CC}">
              <c16:uniqueId val="{00000003-68F1-4086-9159-243CA2E822B6}"/>
            </c:ext>
          </c:extLst>
        </c:ser>
        <c:ser>
          <c:idx val="1"/>
          <c:order val="1"/>
          <c:tx>
            <c:strRef>
              <c:f>'Pivot Report'!$C$39</c:f>
              <c:strCache>
                <c:ptCount val="1"/>
                <c:pt idx="0">
                  <c:v>Count of Patient Admission Flag2</c:v>
                </c:pt>
              </c:strCache>
            </c:strRef>
          </c:tx>
          <c:spPr>
            <a:solidFill>
              <a:schemeClr val="accent2"/>
            </a:solidFill>
            <a:ln>
              <a:noFill/>
            </a:ln>
            <a:effectLst/>
          </c:spPr>
          <c:invertIfNegative val="0"/>
          <c:cat>
            <c:strRef>
              <c:f>'Pivot Report'!$A$40:$A$42</c:f>
              <c:strCache>
                <c:ptCount val="2"/>
                <c:pt idx="0">
                  <c:v>Admitted</c:v>
                </c:pt>
                <c:pt idx="1">
                  <c:v>Not Admitted</c:v>
                </c:pt>
              </c:strCache>
            </c:strRef>
          </c:cat>
          <c:val>
            <c:numRef>
              <c:f>'Pivot Report'!$C$40:$C$42</c:f>
              <c:numCache>
                <c:formatCode>0.00%</c:formatCode>
                <c:ptCount val="2"/>
                <c:pt idx="0">
                  <c:v>0.47368421052631576</c:v>
                </c:pt>
                <c:pt idx="1">
                  <c:v>0.52631578947368418</c:v>
                </c:pt>
              </c:numCache>
            </c:numRef>
          </c:val>
          <c:extLst>
            <c:ext xmlns:c16="http://schemas.microsoft.com/office/drawing/2014/chart" uri="{C3380CC4-5D6E-409C-BE32-E72D297353CC}">
              <c16:uniqueId val="{00000004-68F1-4086-9159-243CA2E822B6}"/>
            </c:ext>
          </c:extLst>
        </c:ser>
        <c:dLbls>
          <c:showLegendKey val="0"/>
          <c:showVal val="0"/>
          <c:showCatName val="0"/>
          <c:showSerName val="0"/>
          <c:showPercent val="0"/>
          <c:showBubbleSize val="0"/>
        </c:dLbls>
        <c:gapWidth val="0"/>
        <c:axId val="1052816000"/>
        <c:axId val="1052814560"/>
      </c:barChart>
      <c:catAx>
        <c:axId val="1052816000"/>
        <c:scaling>
          <c:orientation val="minMax"/>
        </c:scaling>
        <c:delete val="1"/>
        <c:axPos val="l"/>
        <c:numFmt formatCode="General" sourceLinked="1"/>
        <c:majorTickMark val="none"/>
        <c:minorTickMark val="none"/>
        <c:tickLblPos val="nextTo"/>
        <c:crossAx val="1052814560"/>
        <c:crosses val="autoZero"/>
        <c:auto val="1"/>
        <c:lblAlgn val="ctr"/>
        <c:lblOffset val="100"/>
        <c:noMultiLvlLbl val="0"/>
      </c:catAx>
      <c:valAx>
        <c:axId val="1052814560"/>
        <c:scaling>
          <c:orientation val="minMax"/>
        </c:scaling>
        <c:delete val="1"/>
        <c:axPos val="b"/>
        <c:numFmt formatCode="0" sourceLinked="1"/>
        <c:majorTickMark val="none"/>
        <c:minorTickMark val="none"/>
        <c:tickLblPos val="nextTo"/>
        <c:crossAx val="105281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3.xml"/><Relationship Id="rId18"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ication score daily'!A1"/><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 '!A1"/><Relationship Id="rId1" Type="http://schemas.openxmlformats.org/officeDocument/2006/relationships/chart" Target="../charts/chart8.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 '!A1"/></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 '!A1"/></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absolute">
    <xdr:from>
      <xdr:col>0</xdr:col>
      <xdr:colOff>45307</xdr:colOff>
      <xdr:row>0</xdr:row>
      <xdr:rowOff>55600</xdr:rowOff>
    </xdr:from>
    <xdr:to>
      <xdr:col>5</xdr:col>
      <xdr:colOff>244593</xdr:colOff>
      <xdr:row>2</xdr:row>
      <xdr:rowOff>150518</xdr:rowOff>
    </xdr:to>
    <xdr:sp macro="" textlink="">
      <xdr:nvSpPr>
        <xdr:cNvPr id="2" name="Rectangle: Rounded Corners 1">
          <a:extLst>
            <a:ext uri="{FF2B5EF4-FFF2-40B4-BE49-F238E27FC236}">
              <a16:creationId xmlns:a16="http://schemas.microsoft.com/office/drawing/2014/main" id="{09E24A90-812B-7074-B352-213366B7FBF6}"/>
            </a:ext>
          </a:extLst>
        </xdr:cNvPr>
        <xdr:cNvSpPr/>
      </xdr:nvSpPr>
      <xdr:spPr>
        <a:xfrm>
          <a:off x="45307" y="55600"/>
          <a:ext cx="3246556" cy="459861"/>
        </a:xfrm>
        <a:prstGeom prst="roundRect">
          <a:avLst>
            <a:gd name="adj" fmla="val 12071"/>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276916</xdr:colOff>
      <xdr:row>0</xdr:row>
      <xdr:rowOff>60304</xdr:rowOff>
    </xdr:from>
    <xdr:to>
      <xdr:col>7</xdr:col>
      <xdr:colOff>28646</xdr:colOff>
      <xdr:row>2</xdr:row>
      <xdr:rowOff>152782</xdr:rowOff>
    </xdr:to>
    <xdr:sp macro="" textlink="">
      <xdr:nvSpPr>
        <xdr:cNvPr id="3" name="Rectangle: Rounded Corners 2">
          <a:extLst>
            <a:ext uri="{FF2B5EF4-FFF2-40B4-BE49-F238E27FC236}">
              <a16:creationId xmlns:a16="http://schemas.microsoft.com/office/drawing/2014/main" id="{E05CAD64-C0F7-56B6-0ECD-D20C0FBC0C71}"/>
            </a:ext>
          </a:extLst>
        </xdr:cNvPr>
        <xdr:cNvSpPr/>
      </xdr:nvSpPr>
      <xdr:spPr>
        <a:xfrm>
          <a:off x="3332555" y="60304"/>
          <a:ext cx="973986" cy="464884"/>
        </a:xfrm>
        <a:prstGeom prst="roundRect">
          <a:avLst>
            <a:gd name="adj" fmla="val 12071"/>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195825</xdr:colOff>
      <xdr:row>0</xdr:row>
      <xdr:rowOff>60305</xdr:rowOff>
    </xdr:from>
    <xdr:to>
      <xdr:col>11</xdr:col>
      <xdr:colOff>291629</xdr:colOff>
      <xdr:row>7</xdr:row>
      <xdr:rowOff>37630</xdr:rowOff>
    </xdr:to>
    <xdr:sp macro="" textlink="">
      <xdr:nvSpPr>
        <xdr:cNvPr id="5" name="Rectangle: Rounded Corners 4">
          <a:extLst>
            <a:ext uri="{FF2B5EF4-FFF2-40B4-BE49-F238E27FC236}">
              <a16:creationId xmlns:a16="http://schemas.microsoft.com/office/drawing/2014/main" id="{EB05D11C-E58D-8639-1D91-ECED7485DEE7}"/>
            </a:ext>
          </a:extLst>
        </xdr:cNvPr>
        <xdr:cNvSpPr/>
      </xdr:nvSpPr>
      <xdr:spPr>
        <a:xfrm>
          <a:off x="5695975" y="60305"/>
          <a:ext cx="1318060" cy="1280746"/>
        </a:xfrm>
        <a:prstGeom prst="roundRect">
          <a:avLst>
            <a:gd name="adj" fmla="val 6478"/>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45306</xdr:colOff>
      <xdr:row>0</xdr:row>
      <xdr:rowOff>65009</xdr:rowOff>
    </xdr:from>
    <xdr:to>
      <xdr:col>9</xdr:col>
      <xdr:colOff>141110</xdr:colOff>
      <xdr:row>7</xdr:row>
      <xdr:rowOff>42334</xdr:rowOff>
    </xdr:to>
    <xdr:sp macro="" textlink="">
      <xdr:nvSpPr>
        <xdr:cNvPr id="4" name="Rectangle: Rounded Corners 3">
          <a:extLst>
            <a:ext uri="{FF2B5EF4-FFF2-40B4-BE49-F238E27FC236}">
              <a16:creationId xmlns:a16="http://schemas.microsoft.com/office/drawing/2014/main" id="{5CEF716C-8DAE-1BE9-F1D5-69C66907E545}"/>
            </a:ext>
          </a:extLst>
        </xdr:cNvPr>
        <xdr:cNvSpPr/>
      </xdr:nvSpPr>
      <xdr:spPr>
        <a:xfrm>
          <a:off x="4325676" y="65009"/>
          <a:ext cx="1318767" cy="1261436"/>
        </a:xfrm>
        <a:prstGeom prst="roundRect">
          <a:avLst>
            <a:gd name="adj" fmla="val 6478"/>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45309</xdr:colOff>
      <xdr:row>3</xdr:row>
      <xdr:rowOff>26096</xdr:rowOff>
    </xdr:from>
    <xdr:to>
      <xdr:col>1</xdr:col>
      <xdr:colOff>112890</xdr:colOff>
      <xdr:row>15</xdr:row>
      <xdr:rowOff>122295</xdr:rowOff>
    </xdr:to>
    <xdr:sp macro="" textlink="">
      <xdr:nvSpPr>
        <xdr:cNvPr id="6" name="Rectangle: Rounded Corners 5">
          <a:extLst>
            <a:ext uri="{FF2B5EF4-FFF2-40B4-BE49-F238E27FC236}">
              <a16:creationId xmlns:a16="http://schemas.microsoft.com/office/drawing/2014/main" id="{3EE415A5-802B-8D26-E685-F7FCB78EDEDD}"/>
            </a:ext>
          </a:extLst>
        </xdr:cNvPr>
        <xdr:cNvSpPr/>
      </xdr:nvSpPr>
      <xdr:spPr>
        <a:xfrm>
          <a:off x="45309" y="574505"/>
          <a:ext cx="678528" cy="2289835"/>
        </a:xfrm>
        <a:prstGeom prst="roundRect">
          <a:avLst>
            <a:gd name="adj" fmla="val 688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162901</xdr:colOff>
      <xdr:row>3</xdr:row>
      <xdr:rowOff>27699</xdr:rowOff>
    </xdr:from>
    <xdr:to>
      <xdr:col>3</xdr:col>
      <xdr:colOff>63457</xdr:colOff>
      <xdr:row>7</xdr:row>
      <xdr:rowOff>29195</xdr:rowOff>
    </xdr:to>
    <xdr:sp macro="" textlink="">
      <xdr:nvSpPr>
        <xdr:cNvPr id="7" name="Rectangle: Rounded Corners 6">
          <a:extLst>
            <a:ext uri="{FF2B5EF4-FFF2-40B4-BE49-F238E27FC236}">
              <a16:creationId xmlns:a16="http://schemas.microsoft.com/office/drawing/2014/main" id="{610F296C-0E88-181E-E474-CE644CC8C879}"/>
            </a:ext>
          </a:extLst>
        </xdr:cNvPr>
        <xdr:cNvSpPr/>
      </xdr:nvSpPr>
      <xdr:spPr>
        <a:xfrm>
          <a:off x="774029" y="586308"/>
          <a:ext cx="1122811" cy="746308"/>
        </a:xfrm>
        <a:prstGeom prst="roundRect">
          <a:avLst>
            <a:gd name="adj" fmla="val 688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114416</xdr:colOff>
      <xdr:row>3</xdr:row>
      <xdr:rowOff>27699</xdr:rowOff>
    </xdr:from>
    <xdr:to>
      <xdr:col>5</xdr:col>
      <xdr:colOff>14972</xdr:colOff>
      <xdr:row>7</xdr:row>
      <xdr:rowOff>28222</xdr:rowOff>
    </xdr:to>
    <xdr:sp macro="" textlink="">
      <xdr:nvSpPr>
        <xdr:cNvPr id="10" name="Rectangle: Rounded Corners 9">
          <a:extLst>
            <a:ext uri="{FF2B5EF4-FFF2-40B4-BE49-F238E27FC236}">
              <a16:creationId xmlns:a16="http://schemas.microsoft.com/office/drawing/2014/main" id="{250B80D2-83BB-5CFF-BC3E-6DB5D4FAF2CF}"/>
            </a:ext>
          </a:extLst>
        </xdr:cNvPr>
        <xdr:cNvSpPr/>
      </xdr:nvSpPr>
      <xdr:spPr>
        <a:xfrm>
          <a:off x="1948860" y="578032"/>
          <a:ext cx="1123519" cy="734301"/>
        </a:xfrm>
        <a:prstGeom prst="roundRect">
          <a:avLst>
            <a:gd name="adj" fmla="val 688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71222</xdr:colOff>
      <xdr:row>3</xdr:row>
      <xdr:rowOff>22674</xdr:rowOff>
    </xdr:from>
    <xdr:to>
      <xdr:col>6</xdr:col>
      <xdr:colOff>597370</xdr:colOff>
      <xdr:row>7</xdr:row>
      <xdr:rowOff>23197</xdr:rowOff>
    </xdr:to>
    <xdr:sp macro="" textlink="">
      <xdr:nvSpPr>
        <xdr:cNvPr id="11" name="Rectangle: Rounded Corners 10">
          <a:extLst>
            <a:ext uri="{FF2B5EF4-FFF2-40B4-BE49-F238E27FC236}">
              <a16:creationId xmlns:a16="http://schemas.microsoft.com/office/drawing/2014/main" id="{D4397EFF-1919-B55C-66E0-20E6380C72B8}"/>
            </a:ext>
          </a:extLst>
        </xdr:cNvPr>
        <xdr:cNvSpPr/>
      </xdr:nvSpPr>
      <xdr:spPr>
        <a:xfrm>
          <a:off x="3128629" y="573007"/>
          <a:ext cx="1137630" cy="734301"/>
        </a:xfrm>
        <a:prstGeom prst="roundRect">
          <a:avLst>
            <a:gd name="adj" fmla="val 688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162901</xdr:colOff>
      <xdr:row>10</xdr:row>
      <xdr:rowOff>69590</xdr:rowOff>
    </xdr:from>
    <xdr:to>
      <xdr:col>6</xdr:col>
      <xdr:colOff>597370</xdr:colOff>
      <xdr:row>15</xdr:row>
      <xdr:rowOff>117594</xdr:rowOff>
    </xdr:to>
    <xdr:sp macro="" textlink="">
      <xdr:nvSpPr>
        <xdr:cNvPr id="13" name="Rectangle: Rounded Corners 12">
          <a:extLst>
            <a:ext uri="{FF2B5EF4-FFF2-40B4-BE49-F238E27FC236}">
              <a16:creationId xmlns:a16="http://schemas.microsoft.com/office/drawing/2014/main" id="{6123AA9B-54AE-CD15-12B8-B3AF23F02766}"/>
            </a:ext>
          </a:extLst>
        </xdr:cNvPr>
        <xdr:cNvSpPr/>
      </xdr:nvSpPr>
      <xdr:spPr>
        <a:xfrm>
          <a:off x="771805" y="1896302"/>
          <a:ext cx="3478990" cy="961360"/>
        </a:xfrm>
        <a:prstGeom prst="roundRect">
          <a:avLst>
            <a:gd name="adj" fmla="val 688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42334</xdr:colOff>
      <xdr:row>7</xdr:row>
      <xdr:rowOff>94074</xdr:rowOff>
    </xdr:from>
    <xdr:to>
      <xdr:col>11</xdr:col>
      <xdr:colOff>291630</xdr:colOff>
      <xdr:row>15</xdr:row>
      <xdr:rowOff>108185</xdr:rowOff>
    </xdr:to>
    <xdr:sp macro="" textlink="">
      <xdr:nvSpPr>
        <xdr:cNvPr id="20" name="Rectangle: Rounded Corners 19">
          <a:extLst>
            <a:ext uri="{FF2B5EF4-FFF2-40B4-BE49-F238E27FC236}">
              <a16:creationId xmlns:a16="http://schemas.microsoft.com/office/drawing/2014/main" id="{A973CCFD-6C4C-A215-342F-91673D27981F}"/>
            </a:ext>
          </a:extLst>
        </xdr:cNvPr>
        <xdr:cNvSpPr/>
      </xdr:nvSpPr>
      <xdr:spPr>
        <a:xfrm>
          <a:off x="4308512" y="1371373"/>
          <a:ext cx="2687112" cy="1473881"/>
        </a:xfrm>
        <a:prstGeom prst="roundRect">
          <a:avLst>
            <a:gd name="adj" fmla="val 6478"/>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108734</xdr:colOff>
      <xdr:row>0</xdr:row>
      <xdr:rowOff>104385</xdr:rowOff>
    </xdr:from>
    <xdr:to>
      <xdr:col>4</xdr:col>
      <xdr:colOff>495824</xdr:colOff>
      <xdr:row>2</xdr:row>
      <xdr:rowOff>17399</xdr:rowOff>
    </xdr:to>
    <xdr:sp macro="" textlink="">
      <xdr:nvSpPr>
        <xdr:cNvPr id="27" name="TextBox 26">
          <a:extLst>
            <a:ext uri="{FF2B5EF4-FFF2-40B4-BE49-F238E27FC236}">
              <a16:creationId xmlns:a16="http://schemas.microsoft.com/office/drawing/2014/main" id="{C50D5A76-1F4E-CC33-F1A5-F812FD5C5875}"/>
            </a:ext>
          </a:extLst>
        </xdr:cNvPr>
        <xdr:cNvSpPr txBox="1"/>
      </xdr:nvSpPr>
      <xdr:spPr>
        <a:xfrm>
          <a:off x="719862" y="104385"/>
          <a:ext cx="2220473" cy="285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Hospital</a:t>
          </a:r>
          <a:r>
            <a:rPr lang="en-IN" sz="1100" baseline="0"/>
            <a:t> </a:t>
          </a:r>
          <a:r>
            <a:rPr lang="en-IN" sz="1200" baseline="0"/>
            <a:t>Emergency</a:t>
          </a:r>
          <a:r>
            <a:rPr lang="en-IN" sz="1100" baseline="0"/>
            <a:t> Room Dashboard </a:t>
          </a:r>
          <a:endParaRPr lang="en-IN" sz="1100"/>
        </a:p>
      </xdr:txBody>
    </xdr:sp>
    <xdr:clientData/>
  </xdr:twoCellAnchor>
  <xdr:twoCellAnchor editAs="oneCell">
    <xdr:from>
      <xdr:col>0</xdr:col>
      <xdr:colOff>59970</xdr:colOff>
      <xdr:row>0</xdr:row>
      <xdr:rowOff>56445</xdr:rowOff>
    </xdr:from>
    <xdr:to>
      <xdr:col>0</xdr:col>
      <xdr:colOff>596194</xdr:colOff>
      <xdr:row>2</xdr:row>
      <xdr:rowOff>119944</xdr:rowOff>
    </xdr:to>
    <xdr:pic>
      <xdr:nvPicPr>
        <xdr:cNvPr id="29" name="Picture 28">
          <a:extLst>
            <a:ext uri="{FF2B5EF4-FFF2-40B4-BE49-F238E27FC236}">
              <a16:creationId xmlns:a16="http://schemas.microsoft.com/office/drawing/2014/main" id="{B661D1CD-AA24-697A-A0D8-7415BBBE160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033" r="16940" b="9345"/>
        <a:stretch>
          <a:fillRect/>
        </a:stretch>
      </xdr:blipFill>
      <xdr:spPr>
        <a:xfrm>
          <a:off x="59970" y="56445"/>
          <a:ext cx="536224" cy="430388"/>
        </a:xfrm>
        <a:prstGeom prst="rect">
          <a:avLst/>
        </a:prstGeom>
      </xdr:spPr>
    </xdr:pic>
    <xdr:clientData/>
  </xdr:twoCellAnchor>
  <xdr:twoCellAnchor editAs="absolute">
    <xdr:from>
      <xdr:col>0</xdr:col>
      <xdr:colOff>558610</xdr:colOff>
      <xdr:row>1</xdr:row>
      <xdr:rowOff>105038</xdr:rowOff>
    </xdr:from>
    <xdr:to>
      <xdr:col>4</xdr:col>
      <xdr:colOff>544009</xdr:colOff>
      <xdr:row>2</xdr:row>
      <xdr:rowOff>165025</xdr:rowOff>
    </xdr:to>
    <xdr:sp macro="" textlink="">
      <xdr:nvSpPr>
        <xdr:cNvPr id="30" name="TextBox 29">
          <a:extLst>
            <a:ext uri="{FF2B5EF4-FFF2-40B4-BE49-F238E27FC236}">
              <a16:creationId xmlns:a16="http://schemas.microsoft.com/office/drawing/2014/main" id="{ECF0CAA9-091D-0FC7-85A2-4CAA800FFF38}"/>
            </a:ext>
          </a:extLst>
        </xdr:cNvPr>
        <xdr:cNvSpPr txBox="1"/>
      </xdr:nvSpPr>
      <xdr:spPr>
        <a:xfrm>
          <a:off x="558610" y="291241"/>
          <a:ext cx="2429910" cy="246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Monthly Report</a:t>
          </a:r>
        </a:p>
      </xdr:txBody>
    </xdr:sp>
    <xdr:clientData/>
  </xdr:twoCellAnchor>
  <xdr:twoCellAnchor editAs="absolute">
    <xdr:from>
      <xdr:col>1</xdr:col>
      <xdr:colOff>302902</xdr:colOff>
      <xdr:row>4</xdr:row>
      <xdr:rowOff>145977</xdr:rowOff>
    </xdr:from>
    <xdr:to>
      <xdr:col>2</xdr:col>
      <xdr:colOff>583908</xdr:colOff>
      <xdr:row>6</xdr:row>
      <xdr:rowOff>29394</xdr:rowOff>
    </xdr:to>
    <xdr:sp macro="" textlink="">
      <xdr:nvSpPr>
        <xdr:cNvPr id="31" name="TextBox 30">
          <a:extLst>
            <a:ext uri="{FF2B5EF4-FFF2-40B4-BE49-F238E27FC236}">
              <a16:creationId xmlns:a16="http://schemas.microsoft.com/office/drawing/2014/main" id="{ED5D40CA-CD9E-7058-315A-107B30C42FF4}"/>
            </a:ext>
          </a:extLst>
        </xdr:cNvPr>
        <xdr:cNvSpPr txBox="1"/>
      </xdr:nvSpPr>
      <xdr:spPr>
        <a:xfrm>
          <a:off x="912356" y="875862"/>
          <a:ext cx="890460" cy="248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a:t>
          </a:r>
          <a:r>
            <a:rPr lang="en-IN" sz="800" baseline="0"/>
            <a:t> of Patient</a:t>
          </a:r>
          <a:endParaRPr lang="en-IN" sz="800"/>
        </a:p>
      </xdr:txBody>
    </xdr:sp>
    <xdr:clientData/>
  </xdr:twoCellAnchor>
  <xdr:twoCellAnchor editAs="absolute">
    <xdr:from>
      <xdr:col>1</xdr:col>
      <xdr:colOff>156925</xdr:colOff>
      <xdr:row>3</xdr:row>
      <xdr:rowOff>138678</xdr:rowOff>
    </xdr:from>
    <xdr:to>
      <xdr:col>3</xdr:col>
      <xdr:colOff>113132</xdr:colOff>
      <xdr:row>4</xdr:row>
      <xdr:rowOff>119933</xdr:rowOff>
    </xdr:to>
    <xdr:sp macro="" textlink="'Pivot Report'!A5">
      <xdr:nvSpPr>
        <xdr:cNvPr id="33" name="TextBox 32">
          <a:extLst>
            <a:ext uri="{FF2B5EF4-FFF2-40B4-BE49-F238E27FC236}">
              <a16:creationId xmlns:a16="http://schemas.microsoft.com/office/drawing/2014/main" id="{EA5C2B89-A61E-3F8E-675A-C3FFD842516C}"/>
            </a:ext>
          </a:extLst>
        </xdr:cNvPr>
        <xdr:cNvSpPr txBox="1"/>
      </xdr:nvSpPr>
      <xdr:spPr>
        <a:xfrm>
          <a:off x="766379" y="686092"/>
          <a:ext cx="1175115" cy="163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AF20911D-4360-4995-937A-66DB2752D662}" type="TxLink">
            <a:rPr lang="en-US" sz="1100" b="0" i="0" u="none" strike="noStrike">
              <a:solidFill>
                <a:srgbClr val="000000"/>
              </a:solidFill>
              <a:latin typeface="Aptos Narrow"/>
            </a:rPr>
            <a:pPr algn="ctr"/>
            <a:t>494</a:t>
          </a:fld>
          <a:endParaRPr lang="en-IN" sz="900"/>
        </a:p>
      </xdr:txBody>
    </xdr:sp>
    <xdr:clientData/>
  </xdr:twoCellAnchor>
  <xdr:twoCellAnchor editAs="absolute">
    <xdr:from>
      <xdr:col>3</xdr:col>
      <xdr:colOff>98535</xdr:colOff>
      <xdr:row>3</xdr:row>
      <xdr:rowOff>146474</xdr:rowOff>
    </xdr:from>
    <xdr:to>
      <xdr:col>5</xdr:col>
      <xdr:colOff>80287</xdr:colOff>
      <xdr:row>4</xdr:row>
      <xdr:rowOff>119933</xdr:rowOff>
    </xdr:to>
    <xdr:sp macro="" textlink="'Pivot Report'!A10">
      <xdr:nvSpPr>
        <xdr:cNvPr id="34" name="TextBox 33">
          <a:extLst>
            <a:ext uri="{FF2B5EF4-FFF2-40B4-BE49-F238E27FC236}">
              <a16:creationId xmlns:a16="http://schemas.microsoft.com/office/drawing/2014/main" id="{2B01B58D-1AFC-A44F-699D-E1B0E055C7BD}"/>
            </a:ext>
          </a:extLst>
        </xdr:cNvPr>
        <xdr:cNvSpPr txBox="1"/>
      </xdr:nvSpPr>
      <xdr:spPr>
        <a:xfrm>
          <a:off x="1926897" y="693888"/>
          <a:ext cx="1200660" cy="155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1EF2C1A1-575A-43B7-91E8-A193C0215334}" type="TxLink">
            <a:rPr lang="en-US" sz="1100" b="0" i="0" u="none" strike="noStrike">
              <a:solidFill>
                <a:srgbClr val="000000"/>
              </a:solidFill>
              <a:latin typeface="Aptos Narrow"/>
            </a:rPr>
            <a:pPr algn="ctr"/>
            <a:t>36.39</a:t>
          </a:fld>
          <a:endParaRPr lang="en-IN" sz="900"/>
        </a:p>
      </xdr:txBody>
    </xdr:sp>
    <xdr:clientData/>
  </xdr:twoCellAnchor>
  <xdr:twoCellAnchor editAs="absolute">
    <xdr:from>
      <xdr:col>3</xdr:col>
      <xdr:colOff>218967</xdr:colOff>
      <xdr:row>4</xdr:row>
      <xdr:rowOff>145977</xdr:rowOff>
    </xdr:from>
    <xdr:to>
      <xdr:col>4</xdr:col>
      <xdr:colOff>499971</xdr:colOff>
      <xdr:row>6</xdr:row>
      <xdr:rowOff>29394</xdr:rowOff>
    </xdr:to>
    <xdr:sp macro="" textlink="">
      <xdr:nvSpPr>
        <xdr:cNvPr id="37" name="TextBox 36">
          <a:extLst>
            <a:ext uri="{FF2B5EF4-FFF2-40B4-BE49-F238E27FC236}">
              <a16:creationId xmlns:a16="http://schemas.microsoft.com/office/drawing/2014/main" id="{41874733-E2C8-30F9-D576-40FD04A1CCE3}"/>
            </a:ext>
          </a:extLst>
        </xdr:cNvPr>
        <xdr:cNvSpPr txBox="1"/>
      </xdr:nvSpPr>
      <xdr:spPr>
        <a:xfrm>
          <a:off x="2047329" y="875862"/>
          <a:ext cx="890458" cy="248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Average Wait time</a:t>
          </a:r>
        </a:p>
      </xdr:txBody>
    </xdr:sp>
    <xdr:clientData/>
  </xdr:twoCellAnchor>
  <xdr:twoCellAnchor editAs="absolute">
    <xdr:from>
      <xdr:col>5</xdr:col>
      <xdr:colOff>18247</xdr:colOff>
      <xdr:row>3</xdr:row>
      <xdr:rowOff>146474</xdr:rowOff>
    </xdr:from>
    <xdr:to>
      <xdr:col>6</xdr:col>
      <xdr:colOff>609453</xdr:colOff>
      <xdr:row>4</xdr:row>
      <xdr:rowOff>119933</xdr:rowOff>
    </xdr:to>
    <xdr:sp macro="" textlink="'Pivot Report'!A14">
      <xdr:nvSpPr>
        <xdr:cNvPr id="38" name="TextBox 37">
          <a:extLst>
            <a:ext uri="{FF2B5EF4-FFF2-40B4-BE49-F238E27FC236}">
              <a16:creationId xmlns:a16="http://schemas.microsoft.com/office/drawing/2014/main" id="{4E46BDD2-8799-29E5-4981-1EBE53152A95}"/>
            </a:ext>
          </a:extLst>
        </xdr:cNvPr>
        <xdr:cNvSpPr txBox="1"/>
      </xdr:nvSpPr>
      <xdr:spPr>
        <a:xfrm>
          <a:off x="3065517" y="693888"/>
          <a:ext cx="1200660" cy="155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A025B0E-D3E5-4FD6-A8AC-580100D80433}" type="TxLink">
            <a:rPr lang="en-US" sz="1100" b="0" i="0" u="none" strike="noStrike">
              <a:solidFill>
                <a:srgbClr val="000000"/>
              </a:solidFill>
              <a:latin typeface="Aptos Narrow"/>
            </a:rPr>
            <a:pPr algn="ctr"/>
            <a:t>5.06</a:t>
          </a:fld>
          <a:endParaRPr lang="en-IN" sz="900"/>
        </a:p>
      </xdr:txBody>
    </xdr:sp>
    <xdr:clientData/>
  </xdr:twoCellAnchor>
  <xdr:twoCellAnchor editAs="absolute">
    <xdr:from>
      <xdr:col>4</xdr:col>
      <xdr:colOff>558362</xdr:colOff>
      <xdr:row>4</xdr:row>
      <xdr:rowOff>145977</xdr:rowOff>
    </xdr:from>
    <xdr:to>
      <xdr:col>7</xdr:col>
      <xdr:colOff>72989</xdr:colOff>
      <xdr:row>6</xdr:row>
      <xdr:rowOff>29394</xdr:rowOff>
    </xdr:to>
    <xdr:sp macro="" textlink="">
      <xdr:nvSpPr>
        <xdr:cNvPr id="39" name="TextBox 38">
          <a:extLst>
            <a:ext uri="{FF2B5EF4-FFF2-40B4-BE49-F238E27FC236}">
              <a16:creationId xmlns:a16="http://schemas.microsoft.com/office/drawing/2014/main" id="{F0262CA2-1E29-285E-4544-206463B21E07}"/>
            </a:ext>
          </a:extLst>
        </xdr:cNvPr>
        <xdr:cNvSpPr txBox="1"/>
      </xdr:nvSpPr>
      <xdr:spPr>
        <a:xfrm>
          <a:off x="2996178" y="875862"/>
          <a:ext cx="1342989" cy="248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Patient Satistication</a:t>
          </a:r>
          <a:r>
            <a:rPr lang="en-IN" sz="800" baseline="0"/>
            <a:t> Score</a:t>
          </a:r>
          <a:endParaRPr lang="en-IN" sz="800"/>
        </a:p>
      </xdr:txBody>
    </xdr:sp>
    <xdr:clientData/>
  </xdr:twoCellAnchor>
  <xdr:twoCellAnchor editAs="oneCell">
    <xdr:from>
      <xdr:col>2</xdr:col>
      <xdr:colOff>361293</xdr:colOff>
      <xdr:row>3</xdr:row>
      <xdr:rowOff>76390</xdr:rowOff>
    </xdr:from>
    <xdr:to>
      <xdr:col>3</xdr:col>
      <xdr:colOff>3650</xdr:colOff>
      <xdr:row>4</xdr:row>
      <xdr:rowOff>78588</xdr:rowOff>
    </xdr:to>
    <xdr:pic>
      <xdr:nvPicPr>
        <xdr:cNvPr id="41" name="Graphic 40" descr="Male profile with solid fill">
          <a:extLst>
            <a:ext uri="{FF2B5EF4-FFF2-40B4-BE49-F238E27FC236}">
              <a16:creationId xmlns:a16="http://schemas.microsoft.com/office/drawing/2014/main" id="{29747163-181A-61C5-67C8-3D856E85605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83549" y="634999"/>
          <a:ext cx="253484" cy="188401"/>
        </a:xfrm>
        <a:prstGeom prst="rect">
          <a:avLst/>
        </a:prstGeom>
      </xdr:spPr>
    </xdr:pic>
    <xdr:clientData/>
  </xdr:twoCellAnchor>
  <xdr:twoCellAnchor editAs="oneCell">
    <xdr:from>
      <xdr:col>6</xdr:col>
      <xdr:colOff>284655</xdr:colOff>
      <xdr:row>3</xdr:row>
      <xdr:rowOff>76638</xdr:rowOff>
    </xdr:from>
    <xdr:to>
      <xdr:col>6</xdr:col>
      <xdr:colOff>521868</xdr:colOff>
      <xdr:row>4</xdr:row>
      <xdr:rowOff>76639</xdr:rowOff>
    </xdr:to>
    <xdr:pic>
      <xdr:nvPicPr>
        <xdr:cNvPr id="43" name="Graphic 42" descr="Rating with solid fill">
          <a:extLst>
            <a:ext uri="{FF2B5EF4-FFF2-40B4-BE49-F238E27FC236}">
              <a16:creationId xmlns:a16="http://schemas.microsoft.com/office/drawing/2014/main" id="{C8BC7849-7E7A-7F85-43B0-596D13AF8B7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941379" y="624052"/>
          <a:ext cx="237213" cy="182472"/>
        </a:xfrm>
        <a:prstGeom prst="rect">
          <a:avLst/>
        </a:prstGeom>
      </xdr:spPr>
    </xdr:pic>
    <xdr:clientData/>
  </xdr:twoCellAnchor>
  <xdr:twoCellAnchor editAs="oneCell">
    <xdr:from>
      <xdr:col>4</xdr:col>
      <xdr:colOff>364942</xdr:colOff>
      <xdr:row>3</xdr:row>
      <xdr:rowOff>72990</xdr:rowOff>
    </xdr:from>
    <xdr:to>
      <xdr:col>4</xdr:col>
      <xdr:colOff>562011</xdr:colOff>
      <xdr:row>4</xdr:row>
      <xdr:rowOff>80287</xdr:rowOff>
    </xdr:to>
    <xdr:pic>
      <xdr:nvPicPr>
        <xdr:cNvPr id="47" name="Graphic 46" descr="Hourglass Full with solid fill">
          <a:extLst>
            <a:ext uri="{FF2B5EF4-FFF2-40B4-BE49-F238E27FC236}">
              <a16:creationId xmlns:a16="http://schemas.microsoft.com/office/drawing/2014/main" id="{36262BBA-8CBE-F188-472A-EC32FCEB261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802758" y="620404"/>
          <a:ext cx="197069" cy="189768"/>
        </a:xfrm>
        <a:prstGeom prst="rect">
          <a:avLst/>
        </a:prstGeom>
      </xdr:spPr>
    </xdr:pic>
    <xdr:clientData/>
  </xdr:twoCellAnchor>
  <xdr:twoCellAnchor editAs="oneCell">
    <xdr:from>
      <xdr:col>0</xdr:col>
      <xdr:colOff>80287</xdr:colOff>
      <xdr:row>3</xdr:row>
      <xdr:rowOff>57293</xdr:rowOff>
    </xdr:from>
    <xdr:to>
      <xdr:col>1</xdr:col>
      <xdr:colOff>76391</xdr:colOff>
      <xdr:row>15</xdr:row>
      <xdr:rowOff>100263</xdr:rowOff>
    </xdr:to>
    <mc:AlternateContent xmlns:mc="http://schemas.openxmlformats.org/markup-compatibility/2006" xmlns:a14="http://schemas.microsoft.com/office/drawing/2010/main">
      <mc:Choice Requires="a14">
        <xdr:graphicFrame macro="">
          <xdr:nvGraphicFramePr>
            <xdr:cNvPr id="48" name="Date (Month)">
              <a:extLst>
                <a:ext uri="{FF2B5EF4-FFF2-40B4-BE49-F238E27FC236}">
                  <a16:creationId xmlns:a16="http://schemas.microsoft.com/office/drawing/2014/main" id="{6BA3932C-CA7A-40A7-A7DC-8C806B09514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0287" y="615902"/>
              <a:ext cx="607232" cy="22774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36495</xdr:colOff>
      <xdr:row>4</xdr:row>
      <xdr:rowOff>0</xdr:rowOff>
    </xdr:from>
    <xdr:to>
      <xdr:col>3</xdr:col>
      <xdr:colOff>295605</xdr:colOff>
      <xdr:row>8</xdr:row>
      <xdr:rowOff>29196</xdr:rowOff>
    </xdr:to>
    <xdr:graphicFrame macro="">
      <xdr:nvGraphicFramePr>
        <xdr:cNvPr id="50" name="Chart 49">
          <a:hlinkClick xmlns:r="http://schemas.openxmlformats.org/officeDocument/2006/relationships" r:id="rId8"/>
          <a:extLst>
            <a:ext uri="{FF2B5EF4-FFF2-40B4-BE49-F238E27FC236}">
              <a16:creationId xmlns:a16="http://schemas.microsoft.com/office/drawing/2014/main" id="{B28508B8-A4FF-CA32-723D-9FDDEB16C6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95489</xdr:colOff>
      <xdr:row>5</xdr:row>
      <xdr:rowOff>114586</xdr:rowOff>
    </xdr:from>
    <xdr:to>
      <xdr:col>5</xdr:col>
      <xdr:colOff>40137</xdr:colOff>
      <xdr:row>8</xdr:row>
      <xdr:rowOff>97155</xdr:rowOff>
    </xdr:to>
    <xdr:graphicFrame macro="">
      <xdr:nvGraphicFramePr>
        <xdr:cNvPr id="51" name="Chart 50">
          <a:hlinkClick xmlns:r="http://schemas.openxmlformats.org/officeDocument/2006/relationships" r:id="rId10"/>
          <a:extLst>
            <a:ext uri="{FF2B5EF4-FFF2-40B4-BE49-F238E27FC236}">
              <a16:creationId xmlns:a16="http://schemas.microsoft.com/office/drawing/2014/main" id="{56EDACD2-F722-40FD-83EC-4FB1E7CCE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52518</xdr:colOff>
      <xdr:row>3</xdr:row>
      <xdr:rowOff>47442</xdr:rowOff>
    </xdr:from>
    <xdr:to>
      <xdr:col>7</xdr:col>
      <xdr:colOff>36493</xdr:colOff>
      <xdr:row>7</xdr:row>
      <xdr:rowOff>38196</xdr:rowOff>
    </xdr:to>
    <xdr:graphicFrame macro="">
      <xdr:nvGraphicFramePr>
        <xdr:cNvPr id="52" name="Chart 51">
          <a:hlinkClick xmlns:r="http://schemas.openxmlformats.org/officeDocument/2006/relationships" r:id="rId12"/>
          <a:extLst>
            <a:ext uri="{FF2B5EF4-FFF2-40B4-BE49-F238E27FC236}">
              <a16:creationId xmlns:a16="http://schemas.microsoft.com/office/drawing/2014/main" id="{1A0207DA-7BD0-40EE-8D5F-2F5EF8EA5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200719</xdr:colOff>
          <xdr:row>7</xdr:row>
          <xdr:rowOff>91236</xdr:rowOff>
        </xdr:from>
        <xdr:to>
          <xdr:col>6</xdr:col>
          <xdr:colOff>587559</xdr:colOff>
          <xdr:row>10</xdr:row>
          <xdr:rowOff>0</xdr:rowOff>
        </xdr:to>
        <xdr:pic>
          <xdr:nvPicPr>
            <xdr:cNvPr id="67" name="Picture 66">
              <a:extLst>
                <a:ext uri="{FF2B5EF4-FFF2-40B4-BE49-F238E27FC236}">
                  <a16:creationId xmlns:a16="http://schemas.microsoft.com/office/drawing/2014/main" id="{45DB38E7-19F9-263C-43BA-4B298114A755}"/>
                </a:ext>
              </a:extLst>
            </xdr:cNvPr>
            <xdr:cNvPicPr>
              <a:picLocks noChangeAspect="1" noChangeArrowheads="1"/>
              <a:extLst>
                <a:ext uri="{84589F7E-364E-4C9E-8A38-B11213B215E9}">
                  <a14:cameraTool cellRange="'Pivot Report'!$B$63:$F$65" spid="_x0000_s3104"/>
                </a:ext>
              </a:extLst>
            </xdr:cNvPicPr>
          </xdr:nvPicPr>
          <xdr:blipFill rotWithShape="1">
            <a:blip xmlns:r="http://schemas.openxmlformats.org/officeDocument/2006/relationships" r:embed="rId14"/>
            <a:srcRect l="1" r="423" b="3846"/>
            <a:stretch>
              <a:fillRect/>
            </a:stretch>
          </xdr:blipFill>
          <xdr:spPr bwMode="auto">
            <a:xfrm>
              <a:off x="810173" y="1368535"/>
              <a:ext cx="3434110" cy="456178"/>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302782</xdr:colOff>
      <xdr:row>10</xdr:row>
      <xdr:rowOff>58875</xdr:rowOff>
    </xdr:from>
    <xdr:to>
      <xdr:col>7</xdr:col>
      <xdr:colOff>8412</xdr:colOff>
      <xdr:row>14</xdr:row>
      <xdr:rowOff>168212</xdr:rowOff>
    </xdr:to>
    <xdr:graphicFrame macro="">
      <xdr:nvGraphicFramePr>
        <xdr:cNvPr id="68" name="Chart 67">
          <a:extLst>
            <a:ext uri="{FF2B5EF4-FFF2-40B4-BE49-F238E27FC236}">
              <a16:creationId xmlns:a16="http://schemas.microsoft.com/office/drawing/2014/main" id="{CD1B5497-57B7-44BE-B8D0-E1EC1677D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xdr:col>
      <xdr:colOff>609768</xdr:colOff>
      <xdr:row>14</xdr:row>
      <xdr:rowOff>159801</xdr:rowOff>
    </xdr:from>
    <xdr:to>
      <xdr:col>5</xdr:col>
      <xdr:colOff>29436</xdr:colOff>
      <xdr:row>15</xdr:row>
      <xdr:rowOff>117748</xdr:rowOff>
    </xdr:to>
    <xdr:sp macro="" textlink="">
      <xdr:nvSpPr>
        <xdr:cNvPr id="69" name="TextBox 68">
          <a:extLst>
            <a:ext uri="{FF2B5EF4-FFF2-40B4-BE49-F238E27FC236}">
              <a16:creationId xmlns:a16="http://schemas.microsoft.com/office/drawing/2014/main" id="{E53674B6-058E-4598-991E-49A156A0C64E}"/>
            </a:ext>
          </a:extLst>
        </xdr:cNvPr>
        <xdr:cNvSpPr txBox="1"/>
      </xdr:nvSpPr>
      <xdr:spPr>
        <a:xfrm>
          <a:off x="1829304" y="2750265"/>
          <a:ext cx="1248973" cy="142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a:t>
          </a:r>
          <a:r>
            <a:rPr lang="en-IN" sz="800" baseline="0"/>
            <a:t> of Patient by Age group </a:t>
          </a:r>
          <a:endParaRPr lang="en-IN" sz="800"/>
        </a:p>
      </xdr:txBody>
    </xdr:sp>
    <xdr:clientData/>
  </xdr:twoCellAnchor>
  <xdr:twoCellAnchor>
    <xdr:from>
      <xdr:col>7</xdr:col>
      <xdr:colOff>38719</xdr:colOff>
      <xdr:row>0</xdr:row>
      <xdr:rowOff>58080</xdr:rowOff>
    </xdr:from>
    <xdr:to>
      <xdr:col>9</xdr:col>
      <xdr:colOff>271035</xdr:colOff>
      <xdr:row>6</xdr:row>
      <xdr:rowOff>166494</xdr:rowOff>
    </xdr:to>
    <xdr:graphicFrame macro="">
      <xdr:nvGraphicFramePr>
        <xdr:cNvPr id="70" name="Chart 69">
          <a:extLst>
            <a:ext uri="{FF2B5EF4-FFF2-40B4-BE49-F238E27FC236}">
              <a16:creationId xmlns:a16="http://schemas.microsoft.com/office/drawing/2014/main" id="{F41D0D06-7251-4C44-B6C5-9172D70E0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138043</xdr:colOff>
      <xdr:row>0</xdr:row>
      <xdr:rowOff>36871</xdr:rowOff>
    </xdr:from>
    <xdr:to>
      <xdr:col>11</xdr:col>
      <xdr:colOff>425174</xdr:colOff>
      <xdr:row>7</xdr:row>
      <xdr:rowOff>66261</xdr:rowOff>
    </xdr:to>
    <xdr:graphicFrame macro="">
      <xdr:nvGraphicFramePr>
        <xdr:cNvPr id="72" name="Chart 71">
          <a:extLst>
            <a:ext uri="{FF2B5EF4-FFF2-40B4-BE49-F238E27FC236}">
              <a16:creationId xmlns:a16="http://schemas.microsoft.com/office/drawing/2014/main" id="{136DC74F-D919-4143-BE31-AEEF0D32F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438781</xdr:colOff>
      <xdr:row>6</xdr:row>
      <xdr:rowOff>54784</xdr:rowOff>
    </xdr:from>
    <xdr:to>
      <xdr:col>11</xdr:col>
      <xdr:colOff>82065</xdr:colOff>
      <xdr:row>6</xdr:row>
      <xdr:rowOff>178960</xdr:rowOff>
    </xdr:to>
    <xdr:sp macro="" textlink="">
      <xdr:nvSpPr>
        <xdr:cNvPr id="75" name="TextBox 30">
          <a:extLst>
            <a:ext uri="{FF2B5EF4-FFF2-40B4-BE49-F238E27FC236}">
              <a16:creationId xmlns:a16="http://schemas.microsoft.com/office/drawing/2014/main" id="{67AF129B-0FF9-8561-18E6-7EF333FBC296}"/>
            </a:ext>
          </a:extLst>
        </xdr:cNvPr>
        <xdr:cNvSpPr txBox="1"/>
      </xdr:nvSpPr>
      <xdr:spPr>
        <a:xfrm>
          <a:off x="5905303" y="1148088"/>
          <a:ext cx="858066" cy="124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800"/>
            <a:t>Gender</a:t>
          </a:r>
          <a:r>
            <a:rPr lang="en-IN" sz="800" baseline="0"/>
            <a:t> wise analysis</a:t>
          </a:r>
          <a:endParaRPr lang="en-IN" sz="800"/>
        </a:p>
      </xdr:txBody>
    </xdr:sp>
    <xdr:clientData/>
  </xdr:twoCellAnchor>
  <xdr:twoCellAnchor>
    <xdr:from>
      <xdr:col>7</xdr:col>
      <xdr:colOff>143388</xdr:colOff>
      <xdr:row>7</xdr:row>
      <xdr:rowOff>143386</xdr:rowOff>
    </xdr:from>
    <xdr:to>
      <xdr:col>11</xdr:col>
      <xdr:colOff>188451</xdr:colOff>
      <xdr:row>14</xdr:row>
      <xdr:rowOff>114709</xdr:rowOff>
    </xdr:to>
    <xdr:graphicFrame macro="">
      <xdr:nvGraphicFramePr>
        <xdr:cNvPr id="76" name="Chart 75">
          <a:extLst>
            <a:ext uri="{FF2B5EF4-FFF2-40B4-BE49-F238E27FC236}">
              <a16:creationId xmlns:a16="http://schemas.microsoft.com/office/drawing/2014/main" id="{406F7251-CA3C-4F93-9A0A-A35E1EBD8B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221811</xdr:colOff>
      <xdr:row>14</xdr:row>
      <xdr:rowOff>138458</xdr:rowOff>
    </xdr:from>
    <xdr:to>
      <xdr:col>11</xdr:col>
      <xdr:colOff>135777</xdr:colOff>
      <xdr:row>15</xdr:row>
      <xdr:rowOff>115386</xdr:rowOff>
    </xdr:to>
    <xdr:sp macro="" textlink="">
      <xdr:nvSpPr>
        <xdr:cNvPr id="77" name="TextBox 30">
          <a:extLst>
            <a:ext uri="{FF2B5EF4-FFF2-40B4-BE49-F238E27FC236}">
              <a16:creationId xmlns:a16="http://schemas.microsoft.com/office/drawing/2014/main" id="{9CBB0DCB-27B4-6776-7AC9-9179A5F9AA65}"/>
            </a:ext>
          </a:extLst>
        </xdr:cNvPr>
        <xdr:cNvSpPr txBox="1"/>
      </xdr:nvSpPr>
      <xdr:spPr>
        <a:xfrm>
          <a:off x="4499706" y="2745300"/>
          <a:ext cx="2358477" cy="163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800"/>
            <a:t>No. of Patient by Deparatment Referal</a:t>
          </a:r>
        </a:p>
      </xdr:txBody>
    </xdr:sp>
    <xdr:clientData/>
  </xdr:twoCellAnchor>
  <xdr:twoCellAnchor editAs="oneCell">
    <xdr:from>
      <xdr:col>5</xdr:col>
      <xdr:colOff>300791</xdr:colOff>
      <xdr:row>0</xdr:row>
      <xdr:rowOff>85940</xdr:rowOff>
    </xdr:from>
    <xdr:to>
      <xdr:col>7</xdr:col>
      <xdr:colOff>9548</xdr:colOff>
      <xdr:row>2</xdr:row>
      <xdr:rowOff>128909</xdr:rowOff>
    </xdr:to>
    <mc:AlternateContent xmlns:mc="http://schemas.openxmlformats.org/markup-compatibility/2006" xmlns:a14="http://schemas.microsoft.com/office/drawing/2010/main">
      <mc:Choice Requires="a14">
        <xdr:graphicFrame macro="">
          <xdr:nvGraphicFramePr>
            <xdr:cNvPr id="78" name="Date (Year)">
              <a:extLst>
                <a:ext uri="{FF2B5EF4-FFF2-40B4-BE49-F238E27FC236}">
                  <a16:creationId xmlns:a16="http://schemas.microsoft.com/office/drawing/2014/main" id="{DB62D55F-2B13-45E8-9A01-97BC075F24F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356430" y="85940"/>
              <a:ext cx="931013" cy="415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0.17187</cdr:x>
      <cdr:y>0.89667</cdr:y>
    </cdr:from>
    <cdr:to>
      <cdr:x>0.76483</cdr:x>
      <cdr:y>1</cdr:y>
    </cdr:to>
    <cdr:sp macro="" textlink="">
      <cdr:nvSpPr>
        <cdr:cNvPr id="2" name="TextBox 30">
          <a:extLst xmlns:a="http://schemas.openxmlformats.org/drawingml/2006/main">
            <a:ext uri="{FF2B5EF4-FFF2-40B4-BE49-F238E27FC236}">
              <a16:creationId xmlns:a16="http://schemas.microsoft.com/office/drawing/2014/main" id="{ED5D40CA-CD9E-7058-315A-107B30C42FF4}"/>
            </a:ext>
          </a:extLst>
        </cdr:cNvPr>
        <cdr:cNvSpPr txBox="1"/>
      </cdr:nvSpPr>
      <cdr:spPr>
        <a:xfrm xmlns:a="http://schemas.openxmlformats.org/drawingml/2006/main">
          <a:off x="255548" y="1041555"/>
          <a:ext cx="881624" cy="12002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800"/>
            <a:t>Patient</a:t>
          </a:r>
          <a:r>
            <a:rPr lang="en-IN" sz="800" baseline="0"/>
            <a:t> Attend Status</a:t>
          </a:r>
          <a:endParaRPr lang="en-IN" sz="800"/>
        </a:p>
      </cdr:txBody>
    </cdr:sp>
  </cdr:relSizeAnchor>
</c:userShapes>
</file>

<file path=xl/drawings/drawing3.xml><?xml version="1.0" encoding="utf-8"?>
<xdr:wsDr xmlns:xdr="http://schemas.openxmlformats.org/drawingml/2006/spreadsheetDrawing" xmlns:a="http://schemas.openxmlformats.org/drawingml/2006/main">
  <xdr:twoCellAnchor>
    <xdr:from>
      <xdr:col>1</xdr:col>
      <xdr:colOff>158750</xdr:colOff>
      <xdr:row>2</xdr:row>
      <xdr:rowOff>44450</xdr:rowOff>
    </xdr:from>
    <xdr:to>
      <xdr:col>16</xdr:col>
      <xdr:colOff>76200</xdr:colOff>
      <xdr:row>19</xdr:row>
      <xdr:rowOff>133350</xdr:rowOff>
    </xdr:to>
    <xdr:graphicFrame macro="">
      <xdr:nvGraphicFramePr>
        <xdr:cNvPr id="2" name="Chart 1">
          <a:extLst>
            <a:ext uri="{FF2B5EF4-FFF2-40B4-BE49-F238E27FC236}">
              <a16:creationId xmlns:a16="http://schemas.microsoft.com/office/drawing/2014/main" id="{5CE78CFB-219C-4FE7-9642-A6456FA27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266700</xdr:colOff>
      <xdr:row>2</xdr:row>
      <xdr:rowOff>107950</xdr:rowOff>
    </xdr:from>
    <xdr:to>
      <xdr:col>2</xdr:col>
      <xdr:colOff>146050</xdr:colOff>
      <xdr:row>5</xdr:row>
      <xdr:rowOff>44450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805C6BE5-A9CE-F53F-45AE-CECFC6A6E55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76300" y="476250"/>
          <a:ext cx="488950" cy="4889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292100</xdr:colOff>
      <xdr:row>2</xdr:row>
      <xdr:rowOff>171450</xdr:rowOff>
    </xdr:from>
    <xdr:to>
      <xdr:col>20</xdr:col>
      <xdr:colOff>123902</xdr:colOff>
      <xdr:row>21</xdr:row>
      <xdr:rowOff>165100</xdr:rowOff>
    </xdr:to>
    <xdr:graphicFrame macro="">
      <xdr:nvGraphicFramePr>
        <xdr:cNvPr id="2" name="Chart 1">
          <a:extLst>
            <a:ext uri="{FF2B5EF4-FFF2-40B4-BE49-F238E27FC236}">
              <a16:creationId xmlns:a16="http://schemas.microsoft.com/office/drawing/2014/main" id="{D90515CF-1D5F-48FB-8D7A-39BE7EEBC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0.00476</cdr:x>
      <cdr:y>0.01441</cdr:y>
    </cdr:from>
    <cdr:to>
      <cdr:x>0.05054</cdr:x>
      <cdr:y>0.15313</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05C6BE5-A9CE-F53F-45AE-CECFC6A6E55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88950" cy="48895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565304</xdr:colOff>
      <xdr:row>3</xdr:row>
      <xdr:rowOff>116160</xdr:rowOff>
    </xdr:from>
    <xdr:to>
      <xdr:col>20</xdr:col>
      <xdr:colOff>511097</xdr:colOff>
      <xdr:row>21</xdr:row>
      <xdr:rowOff>123902</xdr:rowOff>
    </xdr:to>
    <xdr:graphicFrame macro="">
      <xdr:nvGraphicFramePr>
        <xdr:cNvPr id="3" name="Chart 2">
          <a:extLst>
            <a:ext uri="{FF2B5EF4-FFF2-40B4-BE49-F238E27FC236}">
              <a16:creationId xmlns:a16="http://schemas.microsoft.com/office/drawing/2014/main" id="{094D7A84-D906-4C04-B414-75C225577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0.00434</cdr:x>
      <cdr:y>0.01661</cdr:y>
    </cdr:from>
    <cdr:to>
      <cdr:x>0.05159</cdr:x>
      <cdr:y>0.17646</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F60C995-B1F5-DCC0-B974-B9003393709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552485" cy="488950"/>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3</xdr:col>
      <xdr:colOff>260350</xdr:colOff>
      <xdr:row>62</xdr:row>
      <xdr:rowOff>12700</xdr:rowOff>
    </xdr:from>
    <xdr:to>
      <xdr:col>6</xdr:col>
      <xdr:colOff>6350</xdr:colOff>
      <xdr:row>65</xdr:row>
      <xdr:rowOff>6350</xdr:rowOff>
    </xdr:to>
    <xdr:graphicFrame macro="">
      <xdr:nvGraphicFramePr>
        <xdr:cNvPr id="6" name="Chart 5">
          <a:extLst>
            <a:ext uri="{FF2B5EF4-FFF2-40B4-BE49-F238E27FC236}">
              <a16:creationId xmlns:a16="http://schemas.microsoft.com/office/drawing/2014/main" id="{DE4CBBCD-BE9D-0BBC-9B37-A7062E8E9F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Thakur" refreshedDate="45913.735786111109" createdVersion="5" refreshedVersion="8" minRefreshableVersion="3" recordCount="0" supportSubquery="1" supportAdvancedDrill="1" xr:uid="{72C64AC8-F841-442E-826C-8DA6AD0614B6}">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Thakur" refreshedDate="45913.735786574071" createdVersion="5" refreshedVersion="8" minRefreshableVersion="3" recordCount="0" supportSubquery="1" supportAdvancedDrill="1" xr:uid="{F3C8084D-65C3-477E-A724-121DE703E3BD}">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Thakur" refreshedDate="45913.735786921294" createdVersion="5" refreshedVersion="8" minRefreshableVersion="3" recordCount="0" supportSubquery="1" supportAdvancedDrill="1" xr:uid="{2A1BE5EC-F088-4482-A354-1A25F15B10D3}">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Thakur" refreshedDate="45913.735787384256" createdVersion="5" refreshedVersion="8" minRefreshableVersion="3" recordCount="0" supportSubquery="1" supportAdvancedDrill="1" xr:uid="{BF21E486-C699-455C-8330-13F3AF123129}">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Thakur" refreshedDate="45913.735788078702" createdVersion="5" refreshedVersion="8" minRefreshableVersion="3" recordCount="0" supportSubquery="1" supportAdvancedDrill="1" xr:uid="{84A35BD8-A73B-4F97-9A64-9B0845DCBDA0}">
  <cacheSource type="external" connectionId="3"/>
  <cacheFields count="4">
    <cacheField name="[Calenda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Thakur" refreshedDate="45913.735789004633" createdVersion="5" refreshedVersion="8" minRefreshableVersion="3" recordCount="0" supportSubquery="1" supportAdvancedDrill="1" xr:uid="{E6481C72-8DA2-4801-9D48-540B6721B289}">
  <cacheSource type="external" connectionId="3"/>
  <cacheFields count="4">
    <cacheField name="[Calenda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Thakur" refreshedDate="45913.735789699072" createdVersion="5" refreshedVersion="8" minRefreshableVersion="3" recordCount="0" supportSubquery="1" supportAdvancedDrill="1" xr:uid="{F1679391-D36F-4BF4-9309-9F0DF4B04B2D}">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Thakur" refreshedDate="45913.73579027778" createdVersion="5" refreshedVersion="8" minRefreshableVersion="3" recordCount="0" supportSubquery="1" supportAdvancedDrill="1" xr:uid="{E210C026-2A55-4941-AD21-5724A2D5A757}">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Thakur" refreshedDate="45913.735790740742" createdVersion="5" refreshedVersion="8" minRefreshableVersion="3" recordCount="0" supportSubquery="1" supportAdvancedDrill="1" xr:uid="{D0F625CD-8BB6-4BAF-B4E2-25B42A8A65D2}">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Thakur" refreshedDate="45913.735791319443" createdVersion="5" refreshedVersion="8" minRefreshableVersion="3" recordCount="0" supportSubquery="1" supportAdvancedDrill="1" xr:uid="{3C0A61AB-8CE5-45F2-86F3-080015E14F92}">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Thakur" refreshedDate="45913.735792129628" createdVersion="5" refreshedVersion="8" minRefreshableVersion="3" recordCount="0" supportSubquery="1" supportAdvancedDrill="1" xr:uid="{5B0DAB23-926D-4F77-81FD-08B6128F8CD5}">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Thakur" refreshedDate="45913.735792824074" createdVersion="5" refreshedVersion="8" minRefreshableVersion="3" recordCount="0" supportSubquery="1" supportAdvancedDrill="1" xr:uid="{0EEECAB6-2C25-4AA9-91A5-F765786675AF}">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Thakur" refreshedDate="45913.727605671294" createdVersion="3" refreshedVersion="8" minRefreshableVersion="3" recordCount="0" supportSubquery="1" supportAdvancedDrill="1" xr:uid="{1078A353-E16E-4223-A874-3B5C5AB80047}">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382220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EF733E-53D2-479F-8B7A-2ECC0D488D57}" name="PivotTable12" cacheId="18" applyNumberFormats="0" applyBorderFormats="0" applyFontFormats="0" applyPatternFormats="0" applyAlignmentFormats="0" applyWidthHeightFormats="1" dataCaption="Values" tag="b25bc365-eeaa-48c9-9a04-9f41a52e970f" updatedVersion="8" minRefreshableVersion="3" subtotalHiddenItems="1" itemPrintTitles="1" createdVersion="5" indent="0" outline="1" outlineData="1" multipleFieldFilters="0" chartFormat="110">
  <location ref="O63:O6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0">
      <pivotArea outline="0" collapsedLevelsAreSubtotals="1" fieldPosition="0"/>
    </format>
  </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422CC7-C022-48F3-B5B2-7E4B2DC94006}" name="PivotTable11" cacheId="17" applyNumberFormats="0" applyBorderFormats="0" applyFontFormats="0" applyPatternFormats="0" applyAlignmentFormats="0" applyWidthHeightFormats="1" dataCaption="Values" tag="a728ee60-6484-4eb4-b148-f41092530890" updatedVersion="8" minRefreshableVersion="3" subtotalHiddenItems="1" itemPrintTitles="1" createdVersion="5" indent="0" outline="1" outlineData="1" multipleFieldFilters="0" chartFormat="110">
  <location ref="M47:N56"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1"/>
    </i>
    <i>
      <x v="6"/>
    </i>
    <i>
      <x/>
    </i>
    <i>
      <x v="5"/>
    </i>
    <i>
      <x v="2"/>
    </i>
    <i>
      <x v="4"/>
    </i>
    <i t="grand">
      <x/>
    </i>
  </rowItems>
  <colItems count="1">
    <i/>
  </colItems>
  <dataFields count="1">
    <dataField name="Count of Department Referral" fld="2" subtotal="count" baseField="0" baseItem="0"/>
  </dataFields>
  <formats count="2">
    <format dxfId="2">
      <pivotArea outline="0" collapsedLevelsAreSubtotals="1" fieldPosition="0"/>
    </format>
    <format dxfId="1">
      <pivotArea collapsedLevelsAreSubtotals="1" fieldPosition="0">
        <references count="1">
          <reference field="1" count="0"/>
        </references>
      </pivotArea>
    </format>
  </formats>
  <chartFormats count="1">
    <chartFormat chart="10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FC7420-B543-4DE8-AC90-62CD6CC5B6CF}" name="PivotTable3" cacheId="10" applyNumberFormats="0" applyBorderFormats="0" applyFontFormats="0" applyPatternFormats="0" applyAlignmentFormats="0" applyWidthHeightFormats="1" dataCaption="Values" tag="08195f1b-2ed3-49eb-9291-685469d3537f"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
      <pivotArea outline="0" collapsedLevelsAreSubtotals="1" fieldPosition="0"/>
    </format>
  </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8776D9-7B59-4D59-A941-4959423C796A}" name="PivotTable1" cacheId="8" applyNumberFormats="0" applyBorderFormats="0" applyFontFormats="0" applyPatternFormats="0" applyAlignmentFormats="0" applyWidthHeightFormats="1" dataCaption="Values" tag="c412de06-1d81-4e7c-8548-2ca309aab235"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ED973C-EF7F-4D32-97F8-4E3A73F829E1}" name="PivotTable8" cacheId="14" applyNumberFormats="0" applyBorderFormats="0" applyFontFormats="0" applyPatternFormats="0" applyAlignmentFormats="0" applyWidthHeightFormats="1" dataCaption="Values" tag="6cd1f77b-9b3a-44e4-ad91-31c8a80c6d05" updatedVersion="8" minRefreshableVersion="3" subtotalHiddenItems="1" itemPrintTitles="1" createdVersion="5" indent="0" outline="1" outlineData="1" multipleFieldFilters="0" chartFormat="92">
  <location ref="I44:J5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5">
      <pivotArea outline="0" collapsedLevelsAreSubtotals="1" fieldPosition="0"/>
    </format>
    <format dxfId="4">
      <pivotArea collapsedLevelsAreSubtotals="1" fieldPosition="0">
        <references count="1">
          <reference field="1" count="0"/>
        </references>
      </pivotArea>
    </format>
  </formats>
  <chartFormats count="1">
    <chartFormat chart="9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86B6F2-4085-42D7-BD85-A7858F7980DE}" name="PivotTable6" cacheId="12" applyNumberFormats="0" applyBorderFormats="0" applyFontFormats="0" applyPatternFormats="0" applyAlignmentFormats="0" applyWidthHeightFormats="1" dataCaption="Values" tag="dca8e433-f0ab-4805-8162-969116bea94d" updatedVersion="8" minRefreshableVersion="3" subtotalHiddenItems="1" itemPrintTitles="1" createdVersion="5" indent="0" outline="1" outlineData="1" multipleFieldFilters="0" chartFormat="33">
  <location ref="O4:P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6">
      <pivotArea collapsedLevelsAreSubtotals="1" fieldPosition="0">
        <references count="1">
          <reference field="0" count="0"/>
        </references>
      </pivotArea>
    </format>
  </formats>
  <chartFormats count="2">
    <chartFormat chart="28"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3E0C41-684B-47A1-A848-7CC49A6225CD}" name="PivotTable2" cacheId="9" applyNumberFormats="0" applyBorderFormats="0" applyFontFormats="0" applyPatternFormats="0" applyAlignmentFormats="0" applyWidthHeightFormats="1" dataCaption="Values" tag="691f815b-6c63-4df1-acb1-c4fd5dae0566"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7">
      <pivotArea outline="0" collapsedLevelsAreSubtotals="1" fieldPosition="0"/>
    </format>
  </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F94E3A-3FFE-416B-8E06-B2514E04DCBD}" name="PivotTable5" cacheId="11" applyNumberFormats="0" applyBorderFormats="0" applyFontFormats="0" applyPatternFormats="0" applyAlignmentFormats="0" applyWidthHeightFormats="1" dataCaption="Values" tag="91509214-1f17-4e0b-9a1d-4c2627c31f27" updatedVersion="8" minRefreshableVersion="3" subtotalHiddenItems="1" itemPrintTitles="1" createdVersion="5" indent="0" outline="1" outlineData="1" multipleFieldFilters="0" chartFormat="24">
  <location ref="J4:K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8">
      <pivotArea collapsedLevelsAreSubtotals="1" fieldPosition="0">
        <references count="1">
          <reference field="0" count="0"/>
        </references>
      </pivotArea>
    </format>
  </formats>
  <chartFormats count="2">
    <chartFormat chart="17"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532C72-7A40-489C-8C40-EDBCBDF3ECA6}" name="PivotTable4" cacheId="7" applyNumberFormats="0" applyBorderFormats="0" applyFontFormats="0" applyPatternFormats="0" applyAlignmentFormats="0" applyWidthHeightFormats="1" dataCaption="Values" tag="08a5924b-0a24-4e4a-bae8-b825e2d85472" updatedVersion="8" minRefreshableVersion="3" subtotalHiddenItems="1" itemPrintTitles="1" createdVersion="5" indent="0" outline="1" outlineData="1" multipleFieldFilters="0" chartFormat="13">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5"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93D6C2-346C-4C81-B731-7048A687722B}" name="PivotTable10" cacheId="16" applyNumberFormats="0" applyBorderFormats="0" applyFontFormats="0" applyPatternFormats="0" applyAlignmentFormats="0" applyWidthHeightFormats="1" dataCaption="Values" tag="deac08cf-df76-4fda-a136-d0c2ed7adba1" updatedVersion="8" minRefreshableVersion="3" subtotalHiddenItems="1" itemPrintTitles="1" createdVersion="5" indent="0" outline="1" outlineData="1" multipleFieldFilters="0" chartFormat="105">
  <location ref="D55:E5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10">
      <pivotArea outline="0" collapsedLevelsAreSubtotals="1" fieldPosition="0"/>
    </format>
    <format dxfId="9">
      <pivotArea collapsedLevelsAreSubtotals="1" fieldPosition="0">
        <references count="1">
          <reference field="1" count="0"/>
        </references>
      </pivotArea>
    </format>
  </formats>
  <chartFormats count="3">
    <chartFormat chart="102" format="4" series="1">
      <pivotArea type="data" outline="0" fieldPosition="0">
        <references count="1">
          <reference field="4294967294" count="1" selected="0">
            <x v="0"/>
          </reference>
        </references>
      </pivotArea>
    </chartFormat>
    <chartFormat chart="102" format="5">
      <pivotArea type="data" outline="0" fieldPosition="0">
        <references count="2">
          <reference field="4294967294" count="1" selected="0">
            <x v="0"/>
          </reference>
          <reference field="1" count="1" selected="0">
            <x v="0"/>
          </reference>
        </references>
      </pivotArea>
    </chartFormat>
    <chartFormat chart="102"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E2DB24C-E2B6-4B55-9D57-A1AFD6266306}" name="PivotTable7" cacheId="13" applyNumberFormats="0" applyBorderFormats="0" applyFontFormats="0" applyPatternFormats="0" applyAlignmentFormats="0" applyWidthHeightFormats="1" dataCaption="Values" tag="c6338cd4-2bc8-4395-b435-41270ed0a644" updatedVersion="8" minRefreshableVersion="3" subtotalHiddenItems="1" itemPrintTitles="1" createdVersion="5" indent="0" outline="1" outlineData="1" multipleFieldFilters="0" chartFormat="87">
  <location ref="A39:C42"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14">
      <pivotArea outline="0" collapsedLevelsAreSubtotals="1" fieldPosition="0"/>
    </format>
    <format dxfId="13">
      <pivotArea collapsedLevelsAreSubtotals="1" fieldPosition="0">
        <references count="1">
          <reference field="2" count="1">
            <x v="0"/>
          </reference>
        </references>
      </pivotArea>
    </format>
    <format dxfId="12">
      <pivotArea collapsedLevelsAreSubtotals="1" fieldPosition="0">
        <references count="1">
          <reference field="2" count="1">
            <x v="1"/>
          </reference>
        </references>
      </pivotArea>
    </format>
    <format dxfId="11">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s>
  <pivotHierarchies count="35">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207CDCA-7447-4E50-98D3-AADE84728C06}" name="PivotTable9" cacheId="15" applyNumberFormats="0" applyBorderFormats="0" applyFontFormats="0" applyPatternFormats="0" applyAlignmentFormats="0" applyWidthHeightFormats="1" dataCaption="Values" tag="ef634c85-f6cb-42ea-a45a-5419204f64b8" updatedVersion="8" minRefreshableVersion="3" subtotalHiddenItems="1" itemPrintTitles="1" createdVersion="5" indent="0" outline="1" outlineData="1" multipleFieldFilters="0" chartFormat="98">
  <location ref="I56:J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16">
      <pivotArea outline="0" collapsedLevelsAreSubtotals="1" fieldPosition="0"/>
    </format>
    <format dxfId="15">
      <pivotArea collapsedLevelsAreSubtotals="1" fieldPosition="0">
        <references count="1">
          <reference field="1" count="0"/>
        </references>
      </pivotArea>
    </format>
  </formats>
  <chartFormats count="3">
    <chartFormat chart="96" format="4" series="1">
      <pivotArea type="data" outline="0" fieldPosition="0">
        <references count="1">
          <reference field="4294967294" count="1" selected="0">
            <x v="0"/>
          </reference>
        </references>
      </pivotArea>
    </chartFormat>
    <chartFormat chart="96" format="5">
      <pivotArea type="data" outline="0" fieldPosition="0">
        <references count="2">
          <reference field="4294967294" count="1" selected="0">
            <x v="0"/>
          </reference>
          <reference field="1" count="1" selected="0">
            <x v="0"/>
          </reference>
        </references>
      </pivotArea>
    </chartFormat>
    <chartFormat chart="9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6AB9C8B-5BB9-4EA0-BA03-8EEDE7761FAA}"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238222026">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CAB5889-F656-4150-9DDD-1FF39544E463}"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38222026">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3F3C80E8-82B8-458B-B256-F0EAABD926BF}" cache="Slicer_Date__Month" caption="Date (Month)" showCaption="0" level="1" style="SlicerStyleDark2 2" rowHeight="140400"/>
  <slicer name="Date (Year)" xr10:uid="{C1FEB2F9-E2C3-40BF-86DB-8CAF80DBD558}" cache="Slicer_Date__Year" caption="Date (Year)" columnCount="2" showCaption="0" level="1" style="SlicerStyleDark2 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E5DD3-C0AE-4980-8F0D-C1DF4EE71A8C}">
  <sheetPr>
    <pageSetUpPr autoPageBreaks="0"/>
  </sheetPr>
  <dimension ref="A1:M31"/>
  <sheetViews>
    <sheetView showGridLines="0" tabSelected="1" zoomScale="158" zoomScaleNormal="115" workbookViewId="0">
      <selection activeCell="L27" sqref="L27"/>
    </sheetView>
  </sheetViews>
  <sheetFormatPr defaultRowHeight="14.5" x14ac:dyDescent="0.35"/>
  <sheetData>
    <row r="1" spans="1:13" x14ac:dyDescent="0.35">
      <c r="A1" s="3"/>
      <c r="B1" s="3"/>
      <c r="C1" s="3"/>
      <c r="D1" s="3"/>
      <c r="E1" s="3"/>
      <c r="F1" s="3"/>
      <c r="G1" s="3"/>
      <c r="H1" s="3"/>
      <c r="I1" s="3"/>
      <c r="J1" s="3"/>
      <c r="K1" s="3"/>
      <c r="L1" s="3"/>
      <c r="M1" s="3"/>
    </row>
    <row r="2" spans="1:13" x14ac:dyDescent="0.35">
      <c r="A2" s="3"/>
      <c r="B2" s="3"/>
      <c r="C2" s="3"/>
      <c r="D2" s="3"/>
      <c r="E2" s="3"/>
      <c r="F2" s="3"/>
      <c r="G2" s="3"/>
      <c r="H2" s="3"/>
      <c r="I2" s="3"/>
      <c r="J2" s="3"/>
      <c r="K2" s="3"/>
      <c r="L2" s="3"/>
      <c r="M2" s="3"/>
    </row>
    <row r="3" spans="1:13" x14ac:dyDescent="0.35">
      <c r="A3" s="3"/>
      <c r="B3" s="3"/>
      <c r="C3" s="3"/>
      <c r="D3" s="3"/>
      <c r="E3" s="3"/>
      <c r="F3" s="3"/>
      <c r="G3" s="3"/>
      <c r="H3" s="3"/>
      <c r="I3" s="3"/>
      <c r="J3" s="3"/>
      <c r="K3" s="3"/>
      <c r="L3" s="3"/>
      <c r="M3" s="3"/>
    </row>
    <row r="4" spans="1:13" x14ac:dyDescent="0.35">
      <c r="A4" s="3"/>
      <c r="B4" s="3"/>
      <c r="C4" s="3"/>
      <c r="D4" s="3"/>
      <c r="E4" s="3"/>
      <c r="F4" s="3"/>
      <c r="G4" s="3"/>
      <c r="H4" s="3"/>
      <c r="I4" s="3"/>
      <c r="J4" s="3"/>
      <c r="K4" s="3"/>
      <c r="L4" s="3"/>
      <c r="M4" s="3"/>
    </row>
    <row r="5" spans="1:13" x14ac:dyDescent="0.35">
      <c r="A5" s="3"/>
      <c r="B5" s="3"/>
      <c r="C5" s="3"/>
      <c r="D5" s="3"/>
      <c r="E5" s="3"/>
      <c r="F5" s="3"/>
      <c r="G5" s="3"/>
      <c r="H5" s="3"/>
      <c r="I5" s="3"/>
      <c r="J5" s="3"/>
      <c r="K5" s="3"/>
      <c r="L5" s="3"/>
      <c r="M5" s="3"/>
    </row>
    <row r="6" spans="1:13" x14ac:dyDescent="0.35">
      <c r="A6" s="3"/>
      <c r="B6" s="3"/>
      <c r="C6" s="3"/>
      <c r="D6" s="3"/>
      <c r="E6" s="3"/>
      <c r="F6" s="3"/>
      <c r="G6" s="3"/>
      <c r="H6" s="3"/>
      <c r="I6" s="3"/>
      <c r="J6" s="3"/>
      <c r="K6" s="3"/>
      <c r="L6" s="3"/>
      <c r="M6" s="3"/>
    </row>
    <row r="7" spans="1:13" x14ac:dyDescent="0.35">
      <c r="A7" s="3"/>
      <c r="B7" s="3"/>
      <c r="C7" s="3"/>
      <c r="D7" s="3"/>
      <c r="E7" s="3"/>
      <c r="F7" s="3"/>
      <c r="G7" s="3"/>
      <c r="H7" s="3"/>
      <c r="I7" s="3"/>
      <c r="J7" s="3"/>
      <c r="K7" s="3"/>
      <c r="L7" s="3"/>
      <c r="M7" s="3"/>
    </row>
    <row r="8" spans="1:13" x14ac:dyDescent="0.35">
      <c r="A8" s="3"/>
      <c r="B8" s="3"/>
      <c r="C8" s="3"/>
      <c r="D8" s="3"/>
      <c r="E8" s="3"/>
      <c r="F8" s="3"/>
      <c r="G8" s="3"/>
      <c r="H8" s="3"/>
      <c r="I8" s="3"/>
      <c r="J8" s="3"/>
      <c r="K8" s="3"/>
      <c r="L8" s="3"/>
      <c r="M8" s="3"/>
    </row>
    <row r="9" spans="1:13" x14ac:dyDescent="0.35">
      <c r="A9" s="3"/>
      <c r="B9" s="3"/>
      <c r="C9" s="3"/>
      <c r="D9" s="3"/>
      <c r="E9" s="3"/>
      <c r="F9" s="3"/>
      <c r="G9" s="3"/>
      <c r="H9" s="3"/>
      <c r="I9" s="3"/>
      <c r="J9" s="3"/>
      <c r="K9" s="3"/>
      <c r="L9" s="3"/>
      <c r="M9" s="3"/>
    </row>
    <row r="10" spans="1:13" x14ac:dyDescent="0.35">
      <c r="A10" s="3"/>
      <c r="B10" s="3"/>
      <c r="C10" s="3"/>
      <c r="D10" s="3"/>
      <c r="E10" s="3"/>
      <c r="F10" s="3"/>
      <c r="G10" s="3"/>
      <c r="H10" s="3"/>
      <c r="I10" s="3"/>
      <c r="J10" s="3"/>
      <c r="K10" s="3"/>
      <c r="L10" s="3"/>
      <c r="M10" s="3"/>
    </row>
    <row r="11" spans="1:13" x14ac:dyDescent="0.35">
      <c r="A11" s="3"/>
      <c r="B11" s="3"/>
      <c r="C11" s="3"/>
      <c r="D11" s="3"/>
      <c r="E11" s="3"/>
      <c r="F11" s="3"/>
      <c r="G11" s="3"/>
      <c r="H11" s="3"/>
      <c r="I11" s="3"/>
      <c r="J11" s="3"/>
      <c r="K11" s="3"/>
      <c r="L11" s="3"/>
      <c r="M11" s="3"/>
    </row>
    <row r="12" spans="1:13" x14ac:dyDescent="0.35">
      <c r="A12" s="3"/>
      <c r="B12" s="3"/>
      <c r="C12" s="3"/>
      <c r="D12" s="3"/>
      <c r="E12" s="3"/>
      <c r="F12" s="3"/>
      <c r="G12" s="3"/>
      <c r="H12" s="3"/>
      <c r="I12" s="3"/>
      <c r="J12" s="3"/>
      <c r="K12" s="3"/>
      <c r="L12" s="3"/>
      <c r="M12" s="3"/>
    </row>
    <row r="13" spans="1:13" x14ac:dyDescent="0.35">
      <c r="A13" s="3"/>
      <c r="B13" s="3"/>
      <c r="C13" s="3"/>
      <c r="D13" s="3"/>
      <c r="E13" s="3"/>
      <c r="F13" s="3"/>
      <c r="G13" s="3"/>
      <c r="H13" s="3"/>
      <c r="I13" s="3"/>
      <c r="J13" s="3"/>
      <c r="K13" s="3"/>
      <c r="L13" s="3"/>
      <c r="M13" s="3"/>
    </row>
    <row r="14" spans="1:13" x14ac:dyDescent="0.35">
      <c r="A14" s="3"/>
      <c r="B14" s="3"/>
      <c r="C14" s="3"/>
      <c r="D14" s="3"/>
      <c r="E14" s="3"/>
      <c r="F14" s="3"/>
      <c r="G14" s="3"/>
      <c r="H14" s="3"/>
      <c r="I14" s="3"/>
      <c r="J14" s="3"/>
      <c r="K14" s="3"/>
      <c r="L14" s="3"/>
      <c r="M14" s="3"/>
    </row>
    <row r="15" spans="1:13" x14ac:dyDescent="0.35">
      <c r="A15" s="3"/>
      <c r="B15" s="3"/>
      <c r="C15" s="3"/>
      <c r="D15" s="3"/>
      <c r="E15" s="3"/>
      <c r="F15" s="3"/>
      <c r="G15" s="3"/>
      <c r="H15" s="3"/>
      <c r="I15" s="3"/>
      <c r="J15" s="3"/>
      <c r="K15" s="3"/>
      <c r="L15" s="3"/>
      <c r="M15" s="3"/>
    </row>
    <row r="16" spans="1:13" x14ac:dyDescent="0.35">
      <c r="A16" s="3"/>
      <c r="B16" s="3"/>
      <c r="C16" s="3"/>
      <c r="D16" s="3"/>
      <c r="E16" s="3"/>
      <c r="F16" s="3"/>
      <c r="G16" s="3"/>
      <c r="H16" s="3"/>
      <c r="I16" s="3"/>
      <c r="J16" s="3"/>
      <c r="K16" s="3"/>
      <c r="L16" s="3"/>
      <c r="M16" s="3"/>
    </row>
    <row r="17" spans="1:13" x14ac:dyDescent="0.35">
      <c r="A17" s="3"/>
      <c r="B17" s="3"/>
      <c r="C17" s="3"/>
      <c r="D17" s="3"/>
      <c r="E17" s="3"/>
      <c r="F17" s="3"/>
      <c r="G17" s="3"/>
      <c r="H17" s="3"/>
      <c r="I17" s="3"/>
      <c r="J17" s="3"/>
      <c r="K17" s="3"/>
      <c r="L17" s="3"/>
      <c r="M17" s="3"/>
    </row>
    <row r="18" spans="1:13" x14ac:dyDescent="0.35">
      <c r="A18" s="3"/>
      <c r="B18" s="3"/>
      <c r="C18" s="3"/>
      <c r="D18" s="3"/>
      <c r="E18" s="3"/>
      <c r="F18" s="3"/>
      <c r="G18" s="3"/>
      <c r="H18" s="3"/>
      <c r="I18" s="3"/>
      <c r="J18" s="3"/>
      <c r="K18" s="3"/>
      <c r="L18" s="3"/>
      <c r="M18" s="3"/>
    </row>
    <row r="19" spans="1:13" x14ac:dyDescent="0.35">
      <c r="A19" s="3"/>
      <c r="B19" s="3"/>
      <c r="C19" s="3"/>
      <c r="D19" s="3"/>
      <c r="E19" s="3"/>
      <c r="F19" s="3"/>
      <c r="G19" s="3"/>
      <c r="H19" s="3"/>
      <c r="I19" s="3"/>
      <c r="J19" s="3"/>
      <c r="K19" s="3"/>
      <c r="L19" s="3"/>
      <c r="M19" s="3"/>
    </row>
    <row r="20" spans="1:13" x14ac:dyDescent="0.35">
      <c r="A20" s="3"/>
      <c r="B20" s="3"/>
      <c r="C20" s="3"/>
      <c r="D20" s="3"/>
      <c r="E20" s="3"/>
      <c r="F20" s="3"/>
      <c r="G20" s="3"/>
      <c r="H20" s="3"/>
      <c r="I20" s="3"/>
      <c r="J20" s="3"/>
      <c r="K20" s="3"/>
      <c r="L20" s="3"/>
      <c r="M20" s="3"/>
    </row>
    <row r="21" spans="1:13" x14ac:dyDescent="0.35">
      <c r="A21" s="3"/>
      <c r="B21" s="3"/>
      <c r="C21" s="3"/>
      <c r="D21" s="3"/>
      <c r="E21" s="3"/>
      <c r="F21" s="3"/>
      <c r="G21" s="3"/>
      <c r="H21" s="3"/>
      <c r="I21" s="3"/>
      <c r="J21" s="3"/>
      <c r="K21" s="3"/>
      <c r="L21" s="3"/>
      <c r="M21" s="3"/>
    </row>
    <row r="22" spans="1:13" x14ac:dyDescent="0.35">
      <c r="A22" s="3"/>
      <c r="B22" s="3"/>
      <c r="C22" s="3"/>
      <c r="D22" s="3"/>
      <c r="E22" s="3"/>
      <c r="F22" s="3"/>
      <c r="G22" s="3"/>
      <c r="H22" s="3"/>
      <c r="I22" s="3"/>
      <c r="J22" s="3"/>
      <c r="K22" s="3"/>
      <c r="L22" s="3"/>
      <c r="M22" s="3"/>
    </row>
    <row r="23" spans="1:13" x14ac:dyDescent="0.35">
      <c r="A23" s="3"/>
      <c r="B23" s="3"/>
      <c r="C23" s="3"/>
      <c r="D23" s="3"/>
      <c r="E23" s="3"/>
      <c r="F23" s="3"/>
      <c r="G23" s="3"/>
      <c r="H23" s="3"/>
      <c r="I23" s="3"/>
      <c r="J23" s="3"/>
      <c r="K23" s="3"/>
      <c r="L23" s="3"/>
      <c r="M23" s="3"/>
    </row>
    <row r="27" spans="1:13" x14ac:dyDescent="0.35">
      <c r="L27" t="s">
        <v>79</v>
      </c>
    </row>
    <row r="31" spans="1:13" x14ac:dyDescent="0.35">
      <c r="K31" s="16"/>
    </row>
  </sheetData>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21462-15D8-4B32-AFD2-DBF45E0E81A4}">
  <dimension ref="A1:U35"/>
  <sheetViews>
    <sheetView showGridLines="0" topLeftCell="A3" workbookViewId="0"/>
  </sheetViews>
  <sheetFormatPr defaultRowHeight="14.5" x14ac:dyDescent="0.35"/>
  <sheetData>
    <row r="1" spans="1:21" x14ac:dyDescent="0.35">
      <c r="A1" s="5"/>
      <c r="B1" s="5"/>
      <c r="C1" s="5"/>
      <c r="D1" s="5"/>
      <c r="E1" s="5"/>
      <c r="F1" s="5"/>
      <c r="G1" s="5"/>
      <c r="H1" s="5"/>
      <c r="I1" s="5"/>
      <c r="J1" s="5"/>
      <c r="K1" s="5"/>
      <c r="L1" s="5"/>
      <c r="M1" s="5"/>
      <c r="N1" s="5"/>
      <c r="O1" s="5"/>
      <c r="P1" s="5"/>
      <c r="Q1" s="5"/>
      <c r="R1" s="5"/>
      <c r="S1" s="5"/>
      <c r="T1" s="5"/>
      <c r="U1" s="5"/>
    </row>
    <row r="2" spans="1:21" x14ac:dyDescent="0.35">
      <c r="A2" s="5"/>
      <c r="B2" s="5"/>
      <c r="C2" s="5"/>
      <c r="D2" s="5"/>
      <c r="E2" s="5"/>
      <c r="F2" s="5"/>
      <c r="G2" s="5"/>
      <c r="H2" s="5"/>
      <c r="I2" s="5"/>
      <c r="J2" s="5"/>
      <c r="K2" s="5"/>
      <c r="L2" s="5"/>
      <c r="M2" s="5"/>
      <c r="N2" s="5"/>
      <c r="O2" s="5"/>
      <c r="P2" s="5"/>
      <c r="Q2" s="5"/>
      <c r="R2" s="5"/>
      <c r="S2" s="5"/>
      <c r="T2" s="5"/>
      <c r="U2" s="5"/>
    </row>
    <row r="3" spans="1:21" x14ac:dyDescent="0.35">
      <c r="A3" s="5"/>
      <c r="B3" s="5"/>
      <c r="C3" s="5"/>
      <c r="D3" s="5"/>
      <c r="E3" s="5"/>
      <c r="F3" s="5"/>
      <c r="G3" s="5"/>
      <c r="H3" s="5"/>
      <c r="I3" s="5"/>
      <c r="J3" s="5"/>
      <c r="K3" s="5"/>
      <c r="L3" s="5"/>
      <c r="M3" s="5"/>
      <c r="N3" s="5"/>
      <c r="O3" s="5"/>
      <c r="P3" s="5"/>
      <c r="Q3" s="5"/>
      <c r="R3" s="5"/>
      <c r="S3" s="5"/>
      <c r="T3" s="5"/>
      <c r="U3" s="5"/>
    </row>
    <row r="4" spans="1:21" x14ac:dyDescent="0.35">
      <c r="A4" s="5"/>
      <c r="B4" s="5"/>
      <c r="C4" s="5"/>
      <c r="D4" s="5"/>
      <c r="E4" s="5"/>
      <c r="F4" s="5"/>
      <c r="G4" s="5"/>
      <c r="H4" s="5"/>
      <c r="I4" s="5"/>
      <c r="J4" s="5"/>
      <c r="K4" s="5"/>
      <c r="L4" s="5"/>
      <c r="M4" s="5"/>
      <c r="N4" s="5"/>
      <c r="O4" s="5"/>
      <c r="P4" s="5"/>
      <c r="Q4" s="5"/>
      <c r="R4" s="5"/>
      <c r="S4" s="5"/>
      <c r="T4" s="5"/>
      <c r="U4" s="5"/>
    </row>
    <row r="5" spans="1:21" x14ac:dyDescent="0.35">
      <c r="A5" s="5"/>
      <c r="B5" s="5"/>
      <c r="C5" s="5"/>
      <c r="D5" s="5"/>
      <c r="E5" s="5"/>
      <c r="F5" s="5"/>
      <c r="G5" s="5"/>
      <c r="H5" s="5"/>
      <c r="I5" s="5"/>
      <c r="J5" s="5"/>
      <c r="K5" s="5"/>
      <c r="L5" s="5"/>
      <c r="M5" s="5"/>
      <c r="N5" s="5"/>
      <c r="O5" s="5"/>
      <c r="P5" s="5"/>
      <c r="Q5" s="5"/>
      <c r="R5" s="5"/>
      <c r="S5" s="5"/>
      <c r="T5" s="5"/>
      <c r="U5" s="5"/>
    </row>
    <row r="6" spans="1:21" x14ac:dyDescent="0.35">
      <c r="A6" s="5"/>
      <c r="B6" s="5"/>
      <c r="C6" s="5"/>
      <c r="D6" s="5"/>
      <c r="E6" s="5"/>
      <c r="F6" s="5"/>
      <c r="G6" s="5"/>
      <c r="H6" s="5"/>
      <c r="I6" s="5"/>
      <c r="J6" s="5"/>
      <c r="K6" s="5"/>
      <c r="L6" s="5"/>
      <c r="M6" s="5"/>
      <c r="N6" s="5"/>
      <c r="O6" s="5"/>
      <c r="P6" s="5"/>
      <c r="Q6" s="5"/>
      <c r="R6" s="5"/>
      <c r="S6" s="5"/>
      <c r="T6" s="5"/>
      <c r="U6" s="5"/>
    </row>
    <row r="7" spans="1:21" x14ac:dyDescent="0.35">
      <c r="A7" s="5"/>
      <c r="B7" s="5"/>
      <c r="C7" s="5"/>
      <c r="D7" s="5"/>
      <c r="E7" s="5"/>
      <c r="F7" s="5"/>
      <c r="G7" s="5"/>
      <c r="H7" s="5"/>
      <c r="I7" s="5"/>
      <c r="J7" s="5"/>
      <c r="K7" s="5"/>
      <c r="L7" s="5"/>
      <c r="M7" s="5"/>
      <c r="N7" s="5"/>
      <c r="O7" s="5"/>
      <c r="P7" s="5"/>
      <c r="Q7" s="5"/>
      <c r="R7" s="5"/>
      <c r="S7" s="5"/>
      <c r="T7" s="5"/>
      <c r="U7" s="5"/>
    </row>
    <row r="8" spans="1:21" x14ac:dyDescent="0.35">
      <c r="A8" s="5"/>
      <c r="B8" s="5"/>
      <c r="C8" s="5"/>
      <c r="D8" s="5"/>
      <c r="E8" s="5"/>
      <c r="F8" s="5"/>
      <c r="G8" s="5"/>
      <c r="H8" s="5"/>
      <c r="I8" s="5"/>
      <c r="J8" s="5"/>
      <c r="K8" s="5"/>
      <c r="L8" s="5"/>
      <c r="M8" s="5"/>
      <c r="N8" s="5"/>
      <c r="O8" s="5"/>
      <c r="P8" s="5"/>
      <c r="Q8" s="5"/>
      <c r="R8" s="5"/>
      <c r="S8" s="5"/>
      <c r="T8" s="5"/>
      <c r="U8" s="5"/>
    </row>
    <row r="9" spans="1:21" x14ac:dyDescent="0.35">
      <c r="A9" s="5"/>
      <c r="B9" s="5"/>
      <c r="C9" s="5"/>
      <c r="D9" s="5"/>
      <c r="E9" s="5"/>
      <c r="F9" s="5"/>
      <c r="G9" s="5"/>
      <c r="H9" s="5"/>
      <c r="I9" s="5"/>
      <c r="J9" s="5"/>
      <c r="K9" s="5"/>
      <c r="L9" s="5"/>
      <c r="M9" s="5"/>
      <c r="N9" s="5"/>
      <c r="O9" s="5"/>
      <c r="P9" s="5"/>
      <c r="Q9" s="5"/>
      <c r="R9" s="5"/>
      <c r="S9" s="5"/>
      <c r="T9" s="5"/>
      <c r="U9" s="5"/>
    </row>
    <row r="10" spans="1:21" x14ac:dyDescent="0.35">
      <c r="A10" s="5"/>
      <c r="B10" s="5"/>
      <c r="C10" s="5"/>
      <c r="D10" s="5"/>
      <c r="E10" s="5"/>
      <c r="F10" s="5"/>
      <c r="G10" s="5"/>
      <c r="H10" s="5"/>
      <c r="I10" s="5"/>
      <c r="J10" s="5"/>
      <c r="K10" s="5"/>
      <c r="L10" s="5"/>
      <c r="M10" s="5"/>
      <c r="N10" s="5"/>
      <c r="O10" s="5"/>
      <c r="P10" s="5"/>
      <c r="Q10" s="5"/>
      <c r="R10" s="5"/>
      <c r="S10" s="5"/>
      <c r="T10" s="5"/>
      <c r="U10" s="5"/>
    </row>
    <row r="11" spans="1:21" x14ac:dyDescent="0.35">
      <c r="A11" s="5"/>
      <c r="B11" s="5"/>
      <c r="C11" s="5"/>
      <c r="D11" s="5"/>
      <c r="E11" s="5"/>
      <c r="F11" s="5"/>
      <c r="G11" s="5"/>
      <c r="H11" s="5"/>
      <c r="I11" s="5"/>
      <c r="J11" s="5"/>
      <c r="K11" s="5"/>
      <c r="L11" s="5"/>
      <c r="M11" s="5"/>
      <c r="N11" s="5"/>
      <c r="O11" s="5"/>
      <c r="P11" s="5"/>
      <c r="Q11" s="5"/>
      <c r="R11" s="5"/>
      <c r="S11" s="5"/>
      <c r="T11" s="5"/>
      <c r="U11" s="5"/>
    </row>
    <row r="12" spans="1:21" x14ac:dyDescent="0.35">
      <c r="A12" s="5"/>
      <c r="B12" s="5"/>
      <c r="C12" s="5"/>
      <c r="D12" s="5"/>
      <c r="E12" s="5"/>
      <c r="F12" s="5"/>
      <c r="G12" s="5"/>
      <c r="H12" s="5"/>
      <c r="I12" s="5"/>
      <c r="J12" s="5"/>
      <c r="K12" s="5"/>
      <c r="L12" s="5"/>
      <c r="M12" s="5"/>
      <c r="N12" s="5"/>
      <c r="O12" s="5"/>
      <c r="P12" s="5"/>
      <c r="Q12" s="5"/>
      <c r="R12" s="5"/>
      <c r="S12" s="5"/>
      <c r="T12" s="5"/>
      <c r="U12" s="5"/>
    </row>
    <row r="13" spans="1:21" x14ac:dyDescent="0.35">
      <c r="A13" s="5"/>
      <c r="B13" s="5"/>
      <c r="C13" s="5"/>
      <c r="D13" s="5"/>
      <c r="E13" s="5"/>
      <c r="F13" s="5"/>
      <c r="G13" s="5"/>
      <c r="H13" s="5"/>
      <c r="I13" s="5"/>
      <c r="J13" s="5"/>
      <c r="K13" s="5"/>
      <c r="L13" s="5"/>
      <c r="M13" s="5"/>
      <c r="N13" s="5"/>
      <c r="O13" s="5"/>
      <c r="P13" s="5"/>
      <c r="Q13" s="5"/>
      <c r="R13" s="5"/>
      <c r="S13" s="5"/>
      <c r="T13" s="5"/>
      <c r="U13" s="5"/>
    </row>
    <row r="14" spans="1:21" x14ac:dyDescent="0.35">
      <c r="A14" s="5"/>
      <c r="B14" s="5"/>
      <c r="C14" s="5"/>
      <c r="D14" s="5"/>
      <c r="E14" s="5"/>
      <c r="F14" s="5"/>
      <c r="G14" s="5"/>
      <c r="H14" s="5"/>
      <c r="I14" s="5"/>
      <c r="J14" s="5"/>
      <c r="K14" s="5"/>
      <c r="L14" s="5"/>
      <c r="M14" s="5"/>
      <c r="N14" s="5"/>
      <c r="O14" s="5"/>
      <c r="P14" s="5"/>
      <c r="Q14" s="5"/>
      <c r="R14" s="5"/>
      <c r="S14" s="5"/>
      <c r="T14" s="5"/>
      <c r="U14" s="5"/>
    </row>
    <row r="15" spans="1:21" x14ac:dyDescent="0.35">
      <c r="A15" s="5"/>
      <c r="B15" s="5"/>
      <c r="C15" s="5"/>
      <c r="D15" s="5"/>
      <c r="E15" s="5"/>
      <c r="F15" s="5"/>
      <c r="G15" s="5"/>
      <c r="H15" s="5"/>
      <c r="I15" s="5"/>
      <c r="J15" s="5"/>
      <c r="K15" s="5"/>
      <c r="L15" s="5"/>
      <c r="M15" s="5"/>
      <c r="N15" s="5"/>
      <c r="O15" s="5"/>
      <c r="P15" s="5"/>
      <c r="Q15" s="5"/>
      <c r="R15" s="5"/>
      <c r="S15" s="5"/>
      <c r="T15" s="5"/>
      <c r="U15" s="5"/>
    </row>
    <row r="16" spans="1:21" x14ac:dyDescent="0.35">
      <c r="A16" s="5"/>
      <c r="B16" s="5"/>
      <c r="C16" s="5"/>
      <c r="D16" s="5"/>
      <c r="E16" s="5"/>
      <c r="F16" s="5"/>
      <c r="G16" s="5"/>
      <c r="H16" s="5"/>
      <c r="I16" s="5"/>
      <c r="J16" s="5"/>
      <c r="K16" s="5"/>
      <c r="L16" s="5"/>
      <c r="M16" s="5"/>
      <c r="N16" s="5"/>
      <c r="O16" s="5"/>
      <c r="P16" s="5"/>
      <c r="Q16" s="5"/>
      <c r="R16" s="5"/>
      <c r="S16" s="5"/>
      <c r="T16" s="5"/>
      <c r="U16" s="5"/>
    </row>
    <row r="17" spans="1:21" x14ac:dyDescent="0.35">
      <c r="A17" s="5"/>
      <c r="B17" s="5"/>
      <c r="C17" s="5"/>
      <c r="D17" s="5"/>
      <c r="E17" s="5"/>
      <c r="F17" s="5"/>
      <c r="G17" s="5"/>
      <c r="H17" s="5"/>
      <c r="I17" s="5"/>
      <c r="J17" s="5"/>
      <c r="K17" s="5"/>
      <c r="L17" s="5"/>
      <c r="M17" s="5"/>
      <c r="N17" s="5"/>
      <c r="O17" s="5"/>
      <c r="P17" s="5"/>
      <c r="Q17" s="5"/>
      <c r="R17" s="5"/>
      <c r="S17" s="5"/>
      <c r="T17" s="5"/>
      <c r="U17" s="5"/>
    </row>
    <row r="18" spans="1:21" x14ac:dyDescent="0.35">
      <c r="A18" s="5"/>
      <c r="B18" s="5"/>
      <c r="C18" s="5"/>
      <c r="D18" s="5"/>
      <c r="E18" s="5"/>
      <c r="F18" s="5"/>
      <c r="G18" s="5"/>
      <c r="H18" s="5"/>
      <c r="I18" s="5"/>
      <c r="J18" s="5"/>
      <c r="K18" s="5"/>
      <c r="L18" s="5"/>
      <c r="M18" s="5"/>
      <c r="N18" s="5"/>
      <c r="O18" s="5"/>
      <c r="P18" s="5"/>
      <c r="Q18" s="5"/>
      <c r="R18" s="5"/>
      <c r="S18" s="5"/>
      <c r="T18" s="5"/>
      <c r="U18" s="5"/>
    </row>
    <row r="19" spans="1:21" ht="18.5" x14ac:dyDescent="0.45">
      <c r="A19" s="5"/>
      <c r="B19" s="5"/>
      <c r="C19" s="6"/>
      <c r="D19" s="8"/>
      <c r="E19" s="8"/>
      <c r="F19" s="8"/>
      <c r="G19" s="8"/>
      <c r="H19" s="8"/>
      <c r="I19" s="8"/>
      <c r="J19" s="8"/>
      <c r="K19" s="8"/>
      <c r="L19" s="8"/>
      <c r="M19" s="8"/>
      <c r="N19" s="8"/>
      <c r="O19" s="5"/>
      <c r="P19" s="5"/>
      <c r="Q19" s="5"/>
      <c r="R19" s="5"/>
      <c r="S19" s="5"/>
      <c r="T19" s="5"/>
      <c r="U19" s="5"/>
    </row>
    <row r="20" spans="1:21" x14ac:dyDescent="0.35">
      <c r="A20" s="5"/>
      <c r="B20" s="5"/>
      <c r="C20" s="5"/>
      <c r="D20" s="5"/>
      <c r="E20" s="5"/>
      <c r="F20" s="5"/>
      <c r="G20" s="5"/>
      <c r="H20" s="5"/>
      <c r="I20" s="5"/>
      <c r="J20" s="5"/>
      <c r="K20" s="5"/>
      <c r="L20" s="5"/>
      <c r="M20" s="5"/>
      <c r="N20" s="5"/>
      <c r="O20" s="5"/>
      <c r="P20" s="5"/>
      <c r="Q20" s="5"/>
      <c r="R20" s="5"/>
      <c r="S20" s="5"/>
      <c r="T20" s="5"/>
      <c r="U20" s="5"/>
    </row>
    <row r="21" spans="1:21" ht="18.5" x14ac:dyDescent="0.45">
      <c r="A21" s="5"/>
      <c r="B21" s="5"/>
      <c r="C21" s="5"/>
      <c r="D21" s="6" t="s">
        <v>21</v>
      </c>
      <c r="E21" s="6"/>
      <c r="F21" s="6"/>
      <c r="G21" s="6"/>
      <c r="H21" s="6"/>
      <c r="I21" s="6"/>
      <c r="J21" s="6"/>
      <c r="K21" s="6"/>
      <c r="L21" s="6"/>
      <c r="M21" s="6"/>
      <c r="N21" s="6"/>
      <c r="O21" s="6"/>
      <c r="P21" s="5"/>
      <c r="Q21" s="5"/>
      <c r="R21" s="5"/>
      <c r="S21" s="5"/>
      <c r="T21" s="5"/>
      <c r="U21" s="5"/>
    </row>
    <row r="22" spans="1:21" x14ac:dyDescent="0.35">
      <c r="A22" s="5"/>
      <c r="B22" s="5"/>
      <c r="C22" s="5"/>
      <c r="D22" s="5"/>
      <c r="E22" s="5"/>
      <c r="F22" s="5"/>
      <c r="G22" s="5"/>
      <c r="H22" s="5"/>
      <c r="I22" s="5"/>
      <c r="J22" s="5"/>
      <c r="K22" s="5"/>
      <c r="L22" s="5"/>
      <c r="M22" s="5"/>
      <c r="N22" s="5"/>
      <c r="O22" s="5"/>
      <c r="P22" s="5"/>
      <c r="Q22" s="5"/>
      <c r="R22" s="5"/>
      <c r="S22" s="5"/>
      <c r="T22" s="5"/>
      <c r="U22" s="5"/>
    </row>
    <row r="23" spans="1:21" x14ac:dyDescent="0.35">
      <c r="A23" s="5"/>
      <c r="B23" s="5"/>
      <c r="C23" s="5"/>
      <c r="D23" s="5"/>
      <c r="E23" s="5"/>
      <c r="F23" s="5"/>
      <c r="G23" s="5"/>
      <c r="H23" s="5"/>
      <c r="I23" s="5"/>
      <c r="J23" s="5"/>
      <c r="K23" s="5"/>
      <c r="L23" s="5"/>
      <c r="M23" s="5"/>
      <c r="N23" s="5"/>
      <c r="O23" s="5"/>
      <c r="P23" s="5"/>
      <c r="Q23" s="5"/>
      <c r="R23" s="5"/>
      <c r="S23" s="5"/>
      <c r="T23" s="5"/>
      <c r="U23" s="5"/>
    </row>
    <row r="24" spans="1:21" x14ac:dyDescent="0.35">
      <c r="A24" s="5"/>
      <c r="B24" s="5"/>
      <c r="C24" s="5"/>
      <c r="D24" s="5"/>
      <c r="E24" s="5"/>
      <c r="F24" s="5"/>
      <c r="G24" s="5"/>
      <c r="H24" s="5"/>
      <c r="I24" s="5"/>
      <c r="J24" s="5"/>
      <c r="K24" s="5"/>
      <c r="L24" s="5"/>
      <c r="M24" s="5"/>
      <c r="N24" s="5"/>
      <c r="O24" s="5"/>
      <c r="P24" s="5"/>
      <c r="Q24" s="5"/>
      <c r="R24" s="5"/>
      <c r="S24" s="5"/>
      <c r="T24" s="5"/>
      <c r="U24" s="5"/>
    </row>
    <row r="25" spans="1:21" x14ac:dyDescent="0.35">
      <c r="A25" s="5"/>
      <c r="B25" s="5"/>
      <c r="C25" s="5"/>
      <c r="D25" s="5"/>
      <c r="E25" s="5"/>
      <c r="F25" s="5"/>
      <c r="G25" s="5"/>
      <c r="H25" s="5"/>
      <c r="I25" s="5"/>
      <c r="J25" s="5"/>
      <c r="K25" s="5"/>
      <c r="L25" s="5"/>
      <c r="M25" s="5"/>
      <c r="N25" s="5"/>
      <c r="O25" s="5"/>
      <c r="P25" s="5"/>
      <c r="Q25" s="5"/>
      <c r="R25" s="5"/>
      <c r="S25" s="5"/>
      <c r="T25" s="5"/>
      <c r="U25" s="5"/>
    </row>
    <row r="26" spans="1:21" x14ac:dyDescent="0.35">
      <c r="A26" s="5"/>
      <c r="B26" s="5"/>
      <c r="C26" s="5"/>
      <c r="D26" s="5"/>
      <c r="E26" s="5"/>
      <c r="F26" s="5"/>
      <c r="G26" s="5"/>
      <c r="H26" s="5"/>
      <c r="I26" s="5"/>
      <c r="J26" s="5"/>
      <c r="K26" s="5"/>
      <c r="L26" s="5"/>
      <c r="M26" s="5"/>
      <c r="N26" s="5"/>
      <c r="O26" s="5"/>
      <c r="P26" s="5"/>
      <c r="Q26" s="5"/>
      <c r="R26" s="5"/>
      <c r="S26" s="5"/>
      <c r="T26" s="5"/>
      <c r="U26" s="5"/>
    </row>
    <row r="27" spans="1:21" x14ac:dyDescent="0.35">
      <c r="A27" s="5"/>
      <c r="B27" s="5"/>
      <c r="C27" s="5"/>
      <c r="D27" s="5"/>
      <c r="E27" s="5"/>
      <c r="F27" s="5"/>
      <c r="G27" s="5"/>
      <c r="H27" s="5"/>
      <c r="I27" s="5"/>
      <c r="J27" s="5"/>
      <c r="K27" s="5"/>
      <c r="L27" s="5"/>
      <c r="M27" s="5"/>
      <c r="N27" s="5"/>
      <c r="O27" s="5"/>
      <c r="P27" s="5"/>
      <c r="Q27" s="5"/>
      <c r="R27" s="5"/>
      <c r="S27" s="5"/>
      <c r="T27" s="5"/>
      <c r="U27" s="5"/>
    </row>
    <row r="28" spans="1:21" x14ac:dyDescent="0.35">
      <c r="A28" s="5"/>
      <c r="B28" s="5"/>
      <c r="C28" s="5"/>
      <c r="D28" s="5"/>
      <c r="E28" s="5"/>
      <c r="F28" s="5"/>
      <c r="G28" s="5"/>
      <c r="H28" s="5"/>
      <c r="I28" s="5"/>
      <c r="J28" s="5"/>
      <c r="K28" s="5"/>
      <c r="L28" s="5"/>
      <c r="M28" s="5"/>
      <c r="N28" s="5"/>
      <c r="O28" s="5"/>
      <c r="P28" s="5"/>
      <c r="Q28" s="5"/>
      <c r="R28" s="5"/>
      <c r="S28" s="5"/>
      <c r="T28" s="5"/>
      <c r="U28" s="5"/>
    </row>
    <row r="29" spans="1:21" x14ac:dyDescent="0.35">
      <c r="A29" s="5"/>
      <c r="B29" s="5"/>
      <c r="C29" s="5"/>
      <c r="D29" s="5"/>
      <c r="E29" s="5"/>
      <c r="F29" s="5"/>
      <c r="G29" s="5"/>
      <c r="H29" s="5"/>
      <c r="I29" s="5"/>
      <c r="J29" s="5"/>
      <c r="K29" s="5"/>
      <c r="L29" s="5"/>
      <c r="M29" s="5"/>
      <c r="N29" s="5"/>
      <c r="O29" s="5"/>
      <c r="P29" s="5"/>
      <c r="Q29" s="5"/>
      <c r="R29" s="5"/>
      <c r="S29" s="5"/>
      <c r="T29" s="5"/>
      <c r="U29" s="5"/>
    </row>
    <row r="30" spans="1:21" x14ac:dyDescent="0.35">
      <c r="A30" s="5"/>
      <c r="B30" s="5"/>
      <c r="C30" s="5"/>
      <c r="D30" s="5"/>
      <c r="E30" s="5"/>
      <c r="F30" s="5"/>
      <c r="G30" s="5"/>
      <c r="H30" s="5"/>
      <c r="I30" s="5"/>
      <c r="J30" s="5"/>
      <c r="K30" s="5"/>
      <c r="L30" s="5"/>
      <c r="M30" s="5"/>
      <c r="N30" s="5"/>
      <c r="O30" s="5"/>
      <c r="P30" s="5"/>
      <c r="Q30" s="5"/>
      <c r="R30" s="5"/>
      <c r="S30" s="5"/>
      <c r="T30" s="5"/>
      <c r="U30" s="5"/>
    </row>
    <row r="31" spans="1:21" x14ac:dyDescent="0.35">
      <c r="A31" s="5"/>
      <c r="B31" s="5"/>
      <c r="C31" s="5"/>
      <c r="D31" s="5"/>
      <c r="E31" s="5"/>
      <c r="F31" s="5"/>
      <c r="G31" s="5"/>
      <c r="H31" s="5"/>
      <c r="I31" s="5"/>
      <c r="J31" s="5"/>
      <c r="K31" s="5"/>
      <c r="L31" s="5"/>
      <c r="M31" s="5"/>
      <c r="N31" s="5"/>
      <c r="O31" s="5"/>
      <c r="P31" s="5"/>
      <c r="Q31" s="5"/>
      <c r="R31" s="5"/>
      <c r="S31" s="5"/>
      <c r="T31" s="5"/>
      <c r="U31" s="5"/>
    </row>
    <row r="32" spans="1:21" x14ac:dyDescent="0.35">
      <c r="A32" s="5"/>
      <c r="B32" s="5"/>
      <c r="C32" s="5"/>
      <c r="D32" s="5"/>
      <c r="E32" s="5"/>
      <c r="F32" s="5"/>
      <c r="G32" s="5"/>
      <c r="H32" s="5"/>
      <c r="I32" s="5"/>
      <c r="J32" s="5"/>
      <c r="K32" s="5"/>
      <c r="L32" s="5"/>
      <c r="M32" s="5"/>
      <c r="N32" s="5"/>
      <c r="O32" s="5"/>
      <c r="P32" s="5"/>
      <c r="Q32" s="5"/>
      <c r="R32" s="5"/>
      <c r="S32" s="5"/>
      <c r="T32" s="5"/>
      <c r="U32" s="5"/>
    </row>
    <row r="33" spans="1:21" x14ac:dyDescent="0.35">
      <c r="A33" s="5"/>
      <c r="B33" s="5"/>
      <c r="C33" s="5"/>
      <c r="D33" s="5"/>
      <c r="E33" s="5"/>
      <c r="F33" s="5"/>
      <c r="G33" s="5"/>
      <c r="H33" s="5"/>
      <c r="I33" s="5"/>
      <c r="J33" s="5"/>
      <c r="K33" s="5"/>
      <c r="L33" s="5"/>
      <c r="M33" s="5"/>
      <c r="N33" s="5"/>
      <c r="O33" s="5"/>
      <c r="P33" s="5"/>
      <c r="Q33" s="5"/>
      <c r="R33" s="5"/>
      <c r="S33" s="5"/>
      <c r="T33" s="5"/>
      <c r="U33" s="5"/>
    </row>
    <row r="34" spans="1:21" x14ac:dyDescent="0.35">
      <c r="A34" s="5"/>
      <c r="B34" s="5"/>
      <c r="C34" s="5"/>
      <c r="D34" s="5"/>
      <c r="E34" s="5"/>
      <c r="F34" s="5"/>
      <c r="G34" s="5"/>
      <c r="H34" s="5"/>
      <c r="I34" s="5"/>
      <c r="J34" s="5"/>
      <c r="K34" s="5"/>
      <c r="L34" s="5"/>
      <c r="M34" s="5"/>
      <c r="N34" s="5"/>
      <c r="O34" s="5"/>
      <c r="P34" s="5"/>
      <c r="Q34" s="5"/>
      <c r="R34" s="5"/>
      <c r="S34" s="5"/>
      <c r="T34" s="5"/>
      <c r="U34" s="5"/>
    </row>
    <row r="35" spans="1:21" x14ac:dyDescent="0.35">
      <c r="A35" s="5"/>
      <c r="B35" s="5"/>
      <c r="C35" s="5"/>
      <c r="D35" s="5"/>
      <c r="E35" s="5"/>
      <c r="F35" s="5"/>
      <c r="G35" s="5"/>
      <c r="H35" s="5"/>
      <c r="I35" s="5"/>
      <c r="J35" s="5"/>
      <c r="K35" s="5"/>
      <c r="L35" s="5"/>
      <c r="M35" s="5"/>
      <c r="N35" s="5"/>
      <c r="O35" s="5"/>
      <c r="P35" s="5"/>
      <c r="Q35" s="5"/>
      <c r="R35" s="5"/>
      <c r="S35" s="5"/>
      <c r="T35" s="5"/>
      <c r="U35" s="5"/>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AB766-014C-4F71-A623-E5D020BEC484}">
  <dimension ref="A1:Z39"/>
  <sheetViews>
    <sheetView zoomScale="82" workbookViewId="0"/>
  </sheetViews>
  <sheetFormatPr defaultRowHeight="14.5" x14ac:dyDescent="0.35"/>
  <sheetData>
    <row r="1" spans="1:26" x14ac:dyDescent="0.35">
      <c r="A1" s="5"/>
      <c r="B1" s="5"/>
      <c r="C1" s="5"/>
      <c r="D1" s="5"/>
      <c r="E1" s="5"/>
      <c r="F1" s="5"/>
      <c r="G1" s="5"/>
      <c r="H1" s="5"/>
      <c r="I1" s="5"/>
      <c r="J1" s="5"/>
      <c r="K1" s="5"/>
      <c r="L1" s="5"/>
      <c r="M1" s="5"/>
      <c r="N1" s="5"/>
      <c r="O1" s="5"/>
      <c r="P1" s="5"/>
      <c r="Q1" s="5"/>
      <c r="R1" s="5"/>
      <c r="S1" s="5"/>
      <c r="T1" s="5"/>
      <c r="U1" s="5"/>
      <c r="V1" s="5"/>
      <c r="W1" s="5"/>
      <c r="X1" s="5"/>
      <c r="Y1" s="5"/>
      <c r="Z1" s="5"/>
    </row>
    <row r="2" spans="1:26" x14ac:dyDescent="0.35">
      <c r="A2" s="5"/>
      <c r="B2" s="5"/>
      <c r="C2" s="5"/>
      <c r="D2" s="5"/>
      <c r="E2" s="5"/>
      <c r="F2" s="5"/>
      <c r="G2" s="5"/>
      <c r="H2" s="5"/>
      <c r="I2" s="5"/>
      <c r="J2" s="5"/>
      <c r="K2" s="5"/>
      <c r="L2" s="5"/>
      <c r="M2" s="5"/>
      <c r="N2" s="5"/>
      <c r="O2" s="5"/>
      <c r="P2" s="5"/>
      <c r="Q2" s="5"/>
      <c r="R2" s="5"/>
      <c r="S2" s="5"/>
      <c r="T2" s="5"/>
      <c r="U2" s="5"/>
      <c r="V2" s="5"/>
      <c r="W2" s="5"/>
      <c r="X2" s="5"/>
      <c r="Y2" s="5"/>
      <c r="Z2" s="5"/>
    </row>
    <row r="3" spans="1:26" x14ac:dyDescent="0.35">
      <c r="A3" s="5"/>
      <c r="B3" s="5"/>
      <c r="C3" s="5"/>
      <c r="D3" s="5"/>
      <c r="E3" s="5"/>
      <c r="F3" s="5"/>
      <c r="G3" s="5"/>
      <c r="H3" s="5"/>
      <c r="I3" s="5"/>
      <c r="J3" s="5"/>
      <c r="K3" s="5"/>
      <c r="L3" s="5"/>
      <c r="M3" s="5"/>
      <c r="N3" s="5"/>
      <c r="O3" s="5"/>
      <c r="P3" s="5"/>
      <c r="Q3" s="5"/>
      <c r="R3" s="5"/>
      <c r="S3" s="5"/>
      <c r="T3" s="5"/>
      <c r="U3" s="5"/>
      <c r="V3" s="5"/>
      <c r="W3" s="5"/>
      <c r="X3" s="5"/>
      <c r="Y3" s="5"/>
      <c r="Z3" s="5"/>
    </row>
    <row r="4" spans="1:26" x14ac:dyDescent="0.35">
      <c r="A4" s="5"/>
      <c r="B4" s="5"/>
      <c r="C4" s="5"/>
      <c r="D4" s="5"/>
      <c r="E4" s="5"/>
      <c r="F4" s="5"/>
      <c r="G4" s="5"/>
      <c r="H4" s="5"/>
      <c r="I4" s="5"/>
      <c r="J4" s="5"/>
      <c r="K4" s="5"/>
      <c r="L4" s="5"/>
      <c r="M4" s="5"/>
      <c r="N4" s="5"/>
      <c r="O4" s="5"/>
      <c r="P4" s="5"/>
      <c r="Q4" s="5"/>
      <c r="R4" s="5"/>
      <c r="S4" s="5"/>
      <c r="T4" s="5"/>
      <c r="U4" s="5"/>
      <c r="V4" s="5"/>
      <c r="W4" s="5"/>
      <c r="X4" s="5"/>
      <c r="Y4" s="5"/>
      <c r="Z4" s="5"/>
    </row>
    <row r="5" spans="1:26" x14ac:dyDescent="0.35">
      <c r="A5" s="5"/>
      <c r="B5" s="5"/>
      <c r="C5" s="5"/>
      <c r="D5" s="5"/>
      <c r="E5" s="5"/>
      <c r="F5" s="5"/>
      <c r="G5" s="5"/>
      <c r="H5" s="5"/>
      <c r="I5" s="5"/>
      <c r="J5" s="5"/>
      <c r="K5" s="5"/>
      <c r="L5" s="5"/>
      <c r="M5" s="5"/>
      <c r="N5" s="5"/>
      <c r="O5" s="5"/>
      <c r="P5" s="5"/>
      <c r="Q5" s="5"/>
      <c r="R5" s="5"/>
      <c r="S5" s="5"/>
      <c r="T5" s="5"/>
      <c r="U5" s="5"/>
      <c r="V5" s="5"/>
      <c r="W5" s="5"/>
      <c r="X5" s="5"/>
      <c r="Y5" s="5"/>
      <c r="Z5" s="5"/>
    </row>
    <row r="6" spans="1:26" x14ac:dyDescent="0.35">
      <c r="A6" s="5"/>
      <c r="B6" s="5"/>
      <c r="C6" s="5"/>
      <c r="D6" s="5"/>
      <c r="E6" s="5"/>
      <c r="F6" s="5"/>
      <c r="G6" s="5"/>
      <c r="H6" s="5"/>
      <c r="I6" s="5"/>
      <c r="J6" s="5"/>
      <c r="K6" s="5"/>
      <c r="L6" s="5"/>
      <c r="M6" s="5"/>
      <c r="N6" s="5"/>
      <c r="O6" s="5"/>
      <c r="P6" s="5"/>
      <c r="Q6" s="5"/>
      <c r="R6" s="5"/>
      <c r="S6" s="5"/>
      <c r="T6" s="5"/>
      <c r="U6" s="5"/>
      <c r="V6" s="5"/>
      <c r="W6" s="5"/>
      <c r="X6" s="5"/>
      <c r="Y6" s="5"/>
      <c r="Z6" s="5"/>
    </row>
    <row r="7" spans="1:26" x14ac:dyDescent="0.35">
      <c r="A7" s="5"/>
      <c r="B7" s="5"/>
      <c r="C7" s="5"/>
      <c r="D7" s="5"/>
      <c r="E7" s="5"/>
      <c r="F7" s="5"/>
      <c r="G7" s="5"/>
      <c r="H7" s="5"/>
      <c r="I7" s="5"/>
      <c r="J7" s="5"/>
      <c r="K7" s="5"/>
      <c r="L7" s="5"/>
      <c r="M7" s="5"/>
      <c r="N7" s="5"/>
      <c r="O7" s="5"/>
      <c r="P7" s="5"/>
      <c r="Q7" s="5"/>
      <c r="R7" s="5"/>
      <c r="S7" s="5"/>
      <c r="T7" s="5"/>
      <c r="U7" s="5"/>
      <c r="V7" s="5"/>
      <c r="W7" s="5"/>
      <c r="X7" s="5"/>
      <c r="Y7" s="5"/>
      <c r="Z7" s="5"/>
    </row>
    <row r="8" spans="1:26" x14ac:dyDescent="0.35">
      <c r="A8" s="5"/>
      <c r="B8" s="5"/>
      <c r="C8" s="5"/>
      <c r="D8" s="5"/>
      <c r="E8" s="5"/>
      <c r="F8" s="5"/>
      <c r="G8" s="5"/>
      <c r="H8" s="5"/>
      <c r="I8" s="5"/>
      <c r="J8" s="5"/>
      <c r="K8" s="5"/>
      <c r="L8" s="5"/>
      <c r="M8" s="5"/>
      <c r="N8" s="5"/>
      <c r="O8" s="5"/>
      <c r="P8" s="5"/>
      <c r="Q8" s="5"/>
      <c r="R8" s="5"/>
      <c r="S8" s="5"/>
      <c r="T8" s="5"/>
      <c r="U8" s="5"/>
      <c r="V8" s="5"/>
      <c r="W8" s="5"/>
      <c r="X8" s="5"/>
      <c r="Y8" s="5"/>
      <c r="Z8" s="5"/>
    </row>
    <row r="9" spans="1:26" x14ac:dyDescent="0.35">
      <c r="A9" s="5"/>
      <c r="B9" s="5"/>
      <c r="C9" s="5"/>
      <c r="D9" s="5"/>
      <c r="E9" s="5"/>
      <c r="F9" s="5"/>
      <c r="G9" s="5"/>
      <c r="H9" s="5"/>
      <c r="I9" s="5"/>
      <c r="J9" s="5"/>
      <c r="K9" s="5"/>
      <c r="L9" s="5"/>
      <c r="M9" s="5"/>
      <c r="N9" s="5"/>
      <c r="O9" s="5"/>
      <c r="P9" s="5"/>
      <c r="Q9" s="5"/>
      <c r="R9" s="5"/>
      <c r="S9" s="5"/>
      <c r="T9" s="5"/>
      <c r="U9" s="5"/>
      <c r="V9" s="5"/>
      <c r="W9" s="5"/>
      <c r="X9" s="5"/>
      <c r="Y9" s="5"/>
      <c r="Z9" s="5"/>
    </row>
    <row r="10" spans="1:26" x14ac:dyDescent="0.35">
      <c r="A10" s="5"/>
      <c r="B10" s="5"/>
      <c r="C10" s="5"/>
      <c r="D10" s="5"/>
      <c r="E10" s="5"/>
      <c r="F10" s="5"/>
      <c r="G10" s="5"/>
      <c r="H10" s="5"/>
      <c r="I10" s="5"/>
      <c r="J10" s="5"/>
      <c r="K10" s="5"/>
      <c r="L10" s="5"/>
      <c r="M10" s="5"/>
      <c r="N10" s="5"/>
      <c r="O10" s="5"/>
      <c r="P10" s="5"/>
      <c r="Q10" s="5"/>
      <c r="R10" s="5"/>
      <c r="S10" s="5"/>
      <c r="T10" s="5"/>
      <c r="U10" s="5"/>
      <c r="V10" s="5"/>
      <c r="W10" s="5"/>
      <c r="X10" s="5"/>
      <c r="Y10" s="5"/>
      <c r="Z10" s="5"/>
    </row>
    <row r="11" spans="1:26" x14ac:dyDescent="0.35">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x14ac:dyDescent="0.35">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x14ac:dyDescent="0.35">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x14ac:dyDescent="0.35">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x14ac:dyDescent="0.35">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x14ac:dyDescent="0.35">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x14ac:dyDescent="0.35">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x14ac:dyDescent="0.35">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x14ac:dyDescent="0.35">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x14ac:dyDescent="0.35">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x14ac:dyDescent="0.35">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x14ac:dyDescent="0.35">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21" x14ac:dyDescent="0.5">
      <c r="A23" s="5"/>
      <c r="B23" s="5"/>
      <c r="C23" s="7" t="s">
        <v>24</v>
      </c>
      <c r="D23" s="5"/>
      <c r="E23" s="5"/>
      <c r="F23" s="5"/>
      <c r="G23" s="5"/>
      <c r="H23" s="5"/>
      <c r="I23" s="5"/>
      <c r="J23" s="5"/>
      <c r="K23" s="5"/>
      <c r="L23" s="5"/>
      <c r="M23" s="5"/>
      <c r="N23" s="5"/>
      <c r="O23" s="5"/>
      <c r="P23" s="5"/>
      <c r="Q23" s="5"/>
      <c r="R23" s="5"/>
      <c r="S23" s="5"/>
      <c r="T23" s="5"/>
      <c r="U23" s="5"/>
      <c r="V23" s="5"/>
      <c r="W23" s="5"/>
      <c r="X23" s="5"/>
      <c r="Y23" s="5"/>
      <c r="Z23" s="5"/>
    </row>
    <row r="24" spans="1:26" ht="21" x14ac:dyDescent="0.5">
      <c r="A24" s="5"/>
      <c r="B24" s="5"/>
      <c r="C24" s="5"/>
      <c r="D24" s="7"/>
      <c r="E24" s="7"/>
      <c r="F24" s="7"/>
      <c r="G24" s="7"/>
      <c r="H24" s="7"/>
      <c r="I24" s="7"/>
      <c r="J24" s="7"/>
      <c r="K24" s="7"/>
      <c r="L24" s="7"/>
      <c r="M24" s="7"/>
      <c r="N24" s="5"/>
      <c r="O24" s="5"/>
      <c r="P24" s="5"/>
      <c r="Q24" s="5"/>
      <c r="R24" s="5"/>
      <c r="S24" s="5"/>
      <c r="T24" s="5"/>
      <c r="U24" s="5"/>
      <c r="V24" s="5"/>
      <c r="W24" s="5"/>
      <c r="X24" s="5"/>
      <c r="Y24" s="5"/>
      <c r="Z24" s="5"/>
    </row>
    <row r="25" spans="1:26" x14ac:dyDescent="0.35">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x14ac:dyDescent="0.35">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x14ac:dyDescent="0.35">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x14ac:dyDescent="0.3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x14ac:dyDescent="0.3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x14ac:dyDescent="0.35">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x14ac:dyDescent="0.3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x14ac:dyDescent="0.3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x14ac:dyDescent="0.35">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x14ac:dyDescent="0.3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x14ac:dyDescent="0.3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x14ac:dyDescent="0.3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x14ac:dyDescent="0.3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x14ac:dyDescent="0.3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x14ac:dyDescent="0.35">
      <c r="A39" s="5"/>
      <c r="B39" s="5"/>
      <c r="C39" s="5"/>
      <c r="D39" s="5"/>
      <c r="E39" s="5"/>
      <c r="F39" s="5"/>
      <c r="G39" s="5"/>
      <c r="H39" s="5"/>
      <c r="I39" s="5"/>
      <c r="J39" s="5"/>
      <c r="K39" s="5"/>
      <c r="L39" s="5"/>
      <c r="M39" s="5"/>
      <c r="N39" s="5"/>
      <c r="O39" s="5"/>
      <c r="P39" s="5"/>
      <c r="Q39" s="5"/>
      <c r="R39" s="5"/>
      <c r="S39" s="5"/>
      <c r="T39" s="5"/>
      <c r="U39" s="5"/>
      <c r="V39" s="5"/>
      <c r="W39" s="5"/>
      <c r="X39" s="5"/>
      <c r="Y39" s="5"/>
      <c r="Z39"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0D751-F4C8-4DBA-B855-18BEDEE6B43C}">
  <dimension ref="A1:Z39"/>
  <sheetViews>
    <sheetView zoomScale="82" workbookViewId="0"/>
  </sheetViews>
  <sheetFormatPr defaultRowHeight="14.5" x14ac:dyDescent="0.35"/>
  <sheetData>
    <row r="1" spans="1:26" x14ac:dyDescent="0.35">
      <c r="A1" s="5"/>
      <c r="B1" s="5"/>
      <c r="C1" s="5"/>
      <c r="D1" s="5"/>
      <c r="E1" s="5"/>
      <c r="F1" s="5"/>
      <c r="G1" s="5"/>
      <c r="H1" s="5"/>
      <c r="I1" s="5"/>
      <c r="J1" s="5"/>
      <c r="K1" s="5"/>
      <c r="L1" s="5"/>
      <c r="M1" s="5"/>
      <c r="N1" s="5"/>
      <c r="O1" s="5"/>
      <c r="P1" s="5"/>
      <c r="Q1" s="5"/>
      <c r="R1" s="5"/>
      <c r="S1" s="5"/>
      <c r="T1" s="5"/>
      <c r="U1" s="5"/>
      <c r="V1" s="5"/>
      <c r="W1" s="5"/>
      <c r="X1" s="5"/>
      <c r="Y1" s="5"/>
      <c r="Z1" s="5"/>
    </row>
    <row r="2" spans="1:26" x14ac:dyDescent="0.35">
      <c r="A2" s="5"/>
      <c r="B2" s="5"/>
      <c r="C2" s="5"/>
      <c r="D2" s="5"/>
      <c r="E2" s="5"/>
      <c r="F2" s="5"/>
      <c r="G2" s="5"/>
      <c r="H2" s="5"/>
      <c r="I2" s="5"/>
      <c r="J2" s="5"/>
      <c r="K2" s="5"/>
      <c r="L2" s="5"/>
      <c r="M2" s="5"/>
      <c r="N2" s="5"/>
      <c r="O2" s="5"/>
      <c r="P2" s="5"/>
      <c r="Q2" s="5"/>
      <c r="R2" s="5"/>
      <c r="S2" s="5"/>
      <c r="T2" s="5"/>
      <c r="U2" s="5"/>
      <c r="V2" s="5"/>
      <c r="W2" s="5"/>
      <c r="X2" s="5"/>
      <c r="Y2" s="5"/>
      <c r="Z2" s="5"/>
    </row>
    <row r="3" spans="1:26" x14ac:dyDescent="0.35">
      <c r="A3" s="5"/>
      <c r="B3" s="5"/>
      <c r="C3" s="5"/>
      <c r="D3" s="5"/>
      <c r="E3" s="5"/>
      <c r="F3" s="5"/>
      <c r="G3" s="5"/>
      <c r="H3" s="5"/>
      <c r="I3" s="5"/>
      <c r="J3" s="5"/>
      <c r="K3" s="5"/>
      <c r="L3" s="5"/>
      <c r="M3" s="5"/>
      <c r="N3" s="5"/>
      <c r="O3" s="5"/>
      <c r="P3" s="5"/>
      <c r="Q3" s="5"/>
      <c r="R3" s="5"/>
      <c r="S3" s="5"/>
      <c r="T3" s="5"/>
      <c r="U3" s="5"/>
      <c r="V3" s="5"/>
      <c r="W3" s="5"/>
      <c r="X3" s="5"/>
      <c r="Y3" s="5"/>
      <c r="Z3" s="5"/>
    </row>
    <row r="4" spans="1:26" x14ac:dyDescent="0.35">
      <c r="A4" s="5"/>
      <c r="B4" s="5"/>
      <c r="C4" s="5"/>
      <c r="D4" s="5"/>
      <c r="E4" s="5"/>
      <c r="F4" s="5"/>
      <c r="G4" s="5"/>
      <c r="H4" s="5"/>
      <c r="I4" s="5"/>
      <c r="J4" s="5"/>
      <c r="K4" s="5"/>
      <c r="L4" s="5"/>
      <c r="M4" s="5"/>
      <c r="N4" s="5"/>
      <c r="O4" s="5"/>
      <c r="P4" s="5"/>
      <c r="Q4" s="5"/>
      <c r="R4" s="5"/>
      <c r="S4" s="5"/>
      <c r="T4" s="5"/>
      <c r="U4" s="5"/>
      <c r="V4" s="5"/>
      <c r="W4" s="5"/>
      <c r="X4" s="5"/>
      <c r="Y4" s="5"/>
      <c r="Z4" s="5"/>
    </row>
    <row r="5" spans="1:26" x14ac:dyDescent="0.35">
      <c r="A5" s="5"/>
      <c r="B5" s="5"/>
      <c r="C5" s="5"/>
      <c r="D5" s="5"/>
      <c r="E5" s="5"/>
      <c r="F5" s="5"/>
      <c r="G5" s="5"/>
      <c r="H5" s="5"/>
      <c r="I5" s="5"/>
      <c r="J5" s="5"/>
      <c r="K5" s="5"/>
      <c r="L5" s="5"/>
      <c r="M5" s="5"/>
      <c r="N5" s="5"/>
      <c r="O5" s="5"/>
      <c r="P5" s="5"/>
      <c r="Q5" s="5"/>
      <c r="R5" s="5"/>
      <c r="S5" s="5"/>
      <c r="T5" s="5"/>
      <c r="U5" s="5"/>
      <c r="V5" s="5"/>
      <c r="W5" s="5"/>
      <c r="X5" s="5"/>
      <c r="Y5" s="5"/>
      <c r="Z5" s="5"/>
    </row>
    <row r="6" spans="1:26" x14ac:dyDescent="0.35">
      <c r="A6" s="5"/>
      <c r="B6" s="5"/>
      <c r="C6" s="5"/>
      <c r="D6" s="5"/>
      <c r="E6" s="5"/>
      <c r="F6" s="5"/>
      <c r="G6" s="5"/>
      <c r="H6" s="5"/>
      <c r="I6" s="5"/>
      <c r="J6" s="5"/>
      <c r="K6" s="5"/>
      <c r="L6" s="5"/>
      <c r="M6" s="5"/>
      <c r="N6" s="5"/>
      <c r="O6" s="5"/>
      <c r="P6" s="5"/>
      <c r="Q6" s="5"/>
      <c r="R6" s="5"/>
      <c r="S6" s="5"/>
      <c r="T6" s="5"/>
      <c r="U6" s="5"/>
      <c r="V6" s="5"/>
      <c r="W6" s="5"/>
      <c r="X6" s="5"/>
      <c r="Y6" s="5"/>
      <c r="Z6" s="5"/>
    </row>
    <row r="7" spans="1:26" x14ac:dyDescent="0.35">
      <c r="A7" s="5"/>
      <c r="B7" s="5"/>
      <c r="C7" s="5"/>
      <c r="D7" s="5"/>
      <c r="E7" s="5"/>
      <c r="F7" s="5"/>
      <c r="G7" s="5"/>
      <c r="H7" s="5"/>
      <c r="I7" s="5"/>
      <c r="J7" s="5"/>
      <c r="K7" s="5"/>
      <c r="L7" s="5"/>
      <c r="M7" s="5"/>
      <c r="N7" s="5"/>
      <c r="O7" s="5"/>
      <c r="P7" s="5"/>
      <c r="Q7" s="5"/>
      <c r="R7" s="5"/>
      <c r="S7" s="5"/>
      <c r="T7" s="5"/>
      <c r="U7" s="5"/>
      <c r="V7" s="5"/>
      <c r="W7" s="5"/>
      <c r="X7" s="5"/>
      <c r="Y7" s="5"/>
      <c r="Z7" s="5"/>
    </row>
    <row r="8" spans="1:26" x14ac:dyDescent="0.35">
      <c r="A8" s="5"/>
      <c r="B8" s="5"/>
      <c r="C8" s="5"/>
      <c r="D8" s="5"/>
      <c r="E8" s="5"/>
      <c r="F8" s="5"/>
      <c r="G8" s="5"/>
      <c r="H8" s="5"/>
      <c r="I8" s="5"/>
      <c r="J8" s="5"/>
      <c r="K8" s="5"/>
      <c r="L8" s="5"/>
      <c r="M8" s="5"/>
      <c r="N8" s="5"/>
      <c r="O8" s="5"/>
      <c r="P8" s="5"/>
      <c r="Q8" s="5"/>
      <c r="R8" s="5"/>
      <c r="S8" s="5"/>
      <c r="T8" s="5"/>
      <c r="U8" s="5"/>
      <c r="V8" s="5"/>
      <c r="W8" s="5"/>
      <c r="X8" s="5"/>
      <c r="Y8" s="5"/>
      <c r="Z8" s="5"/>
    </row>
    <row r="9" spans="1:26" x14ac:dyDescent="0.35">
      <c r="A9" s="5"/>
      <c r="B9" s="5"/>
      <c r="C9" s="5"/>
      <c r="D9" s="5"/>
      <c r="E9" s="5"/>
      <c r="F9" s="5"/>
      <c r="G9" s="5"/>
      <c r="H9" s="5"/>
      <c r="I9" s="5"/>
      <c r="J9" s="5"/>
      <c r="K9" s="5"/>
      <c r="L9" s="5"/>
      <c r="M9" s="5"/>
      <c r="N9" s="5"/>
      <c r="O9" s="5"/>
      <c r="P9" s="5"/>
      <c r="Q9" s="5"/>
      <c r="R9" s="5"/>
      <c r="S9" s="5"/>
      <c r="T9" s="5"/>
      <c r="U9" s="5"/>
      <c r="V9" s="5"/>
      <c r="W9" s="5"/>
      <c r="X9" s="5"/>
      <c r="Y9" s="5"/>
      <c r="Z9" s="5"/>
    </row>
    <row r="10" spans="1:26" x14ac:dyDescent="0.35">
      <c r="A10" s="5"/>
      <c r="B10" s="5"/>
      <c r="C10" s="5"/>
      <c r="D10" s="5"/>
      <c r="E10" s="5"/>
      <c r="F10" s="5"/>
      <c r="G10" s="5"/>
      <c r="H10" s="5"/>
      <c r="I10" s="5"/>
      <c r="J10" s="5"/>
      <c r="K10" s="5"/>
      <c r="L10" s="5"/>
      <c r="M10" s="5"/>
      <c r="N10" s="5"/>
      <c r="O10" s="5"/>
      <c r="P10" s="5"/>
      <c r="Q10" s="5"/>
      <c r="R10" s="5"/>
      <c r="S10" s="5"/>
      <c r="T10" s="5"/>
      <c r="U10" s="5"/>
      <c r="V10" s="5"/>
      <c r="W10" s="5"/>
      <c r="X10" s="5"/>
      <c r="Y10" s="5"/>
      <c r="Z10" s="5"/>
    </row>
    <row r="11" spans="1:26" x14ac:dyDescent="0.35">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x14ac:dyDescent="0.35">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x14ac:dyDescent="0.35">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x14ac:dyDescent="0.35">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x14ac:dyDescent="0.35">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x14ac:dyDescent="0.35">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x14ac:dyDescent="0.35">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x14ac:dyDescent="0.35">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x14ac:dyDescent="0.35">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x14ac:dyDescent="0.35">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x14ac:dyDescent="0.35">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x14ac:dyDescent="0.35">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21" x14ac:dyDescent="0.5">
      <c r="A23" s="5"/>
      <c r="B23" s="5"/>
      <c r="C23" s="7" t="s">
        <v>25</v>
      </c>
      <c r="D23" s="5"/>
      <c r="E23" s="5"/>
      <c r="F23" s="5"/>
      <c r="G23" s="5"/>
      <c r="H23" s="5"/>
      <c r="I23" s="5"/>
      <c r="J23" s="5"/>
      <c r="K23" s="5"/>
      <c r="L23" s="5"/>
      <c r="M23" s="5"/>
      <c r="N23" s="5"/>
      <c r="O23" s="5"/>
      <c r="P23" s="5"/>
      <c r="Q23" s="5"/>
      <c r="R23" s="5"/>
      <c r="S23" s="5"/>
      <c r="T23" s="5"/>
      <c r="U23" s="5"/>
      <c r="V23" s="5"/>
      <c r="W23" s="5"/>
      <c r="X23" s="5"/>
      <c r="Y23" s="5"/>
      <c r="Z23" s="5"/>
    </row>
    <row r="24" spans="1:26" ht="21" x14ac:dyDescent="0.5">
      <c r="A24" s="5"/>
      <c r="B24" s="5"/>
      <c r="C24" s="5"/>
      <c r="D24" s="7"/>
      <c r="E24" s="7"/>
      <c r="F24" s="7"/>
      <c r="G24" s="7"/>
      <c r="H24" s="7"/>
      <c r="I24" s="7"/>
      <c r="J24" s="7"/>
      <c r="K24" s="7"/>
      <c r="L24" s="7"/>
      <c r="M24" s="7"/>
      <c r="N24" s="5"/>
      <c r="O24" s="5"/>
      <c r="P24" s="5"/>
      <c r="Q24" s="5"/>
      <c r="R24" s="5"/>
      <c r="S24" s="5"/>
      <c r="T24" s="5"/>
      <c r="U24" s="5"/>
      <c r="V24" s="5"/>
      <c r="W24" s="5"/>
      <c r="X24" s="5"/>
      <c r="Y24" s="5"/>
      <c r="Z24" s="5"/>
    </row>
    <row r="25" spans="1:26" x14ac:dyDescent="0.35">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x14ac:dyDescent="0.35">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x14ac:dyDescent="0.35">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x14ac:dyDescent="0.3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x14ac:dyDescent="0.3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x14ac:dyDescent="0.35">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x14ac:dyDescent="0.3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x14ac:dyDescent="0.3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x14ac:dyDescent="0.35">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x14ac:dyDescent="0.3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x14ac:dyDescent="0.3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x14ac:dyDescent="0.3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x14ac:dyDescent="0.3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x14ac:dyDescent="0.3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x14ac:dyDescent="0.35">
      <c r="A39" s="5"/>
      <c r="B39" s="5"/>
      <c r="C39" s="5"/>
      <c r="D39" s="5"/>
      <c r="E39" s="5"/>
      <c r="F39" s="5"/>
      <c r="G39" s="5"/>
      <c r="H39" s="5"/>
      <c r="I39" s="5"/>
      <c r="J39" s="5"/>
      <c r="K39" s="5"/>
      <c r="L39" s="5"/>
      <c r="M39" s="5"/>
      <c r="N39" s="5"/>
      <c r="O39" s="5"/>
      <c r="P39" s="5"/>
      <c r="Q39" s="5"/>
      <c r="R39" s="5"/>
      <c r="S39" s="5"/>
      <c r="T39" s="5"/>
      <c r="U39" s="5"/>
      <c r="V39" s="5"/>
      <c r="W39" s="5"/>
      <c r="X39" s="5"/>
      <c r="Y39" s="5"/>
      <c r="Z39"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CB3BA-98D8-4F75-81A6-66FB06297615}">
  <dimension ref="A3:P66"/>
  <sheetViews>
    <sheetView topLeftCell="A53" zoomScale="87" workbookViewId="0">
      <selection activeCell="M5" sqref="M5"/>
    </sheetView>
  </sheetViews>
  <sheetFormatPr defaultRowHeight="14.5" x14ac:dyDescent="0.35"/>
  <cols>
    <col min="1" max="1" width="23.54296875" bestFit="1" customWidth="1"/>
    <col min="2" max="2" width="17.453125" customWidth="1"/>
    <col min="3" max="3" width="12.54296875" customWidth="1"/>
    <col min="4" max="4" width="12.36328125" customWidth="1"/>
    <col min="6" max="6" width="12.81640625" customWidth="1"/>
    <col min="10" max="10" width="15.36328125" customWidth="1"/>
    <col min="11" max="11" width="16.453125" customWidth="1"/>
    <col min="13" max="13" width="20.26953125" customWidth="1"/>
    <col min="15" max="15" width="21.36328125" customWidth="1"/>
    <col min="16" max="16" width="13.81640625" customWidth="1"/>
  </cols>
  <sheetData>
    <row r="3" spans="1:16" x14ac:dyDescent="0.35">
      <c r="A3" t="s">
        <v>1</v>
      </c>
      <c r="D3" t="s">
        <v>22</v>
      </c>
      <c r="J3" t="s">
        <v>23</v>
      </c>
      <c r="O3" t="s">
        <v>26</v>
      </c>
    </row>
    <row r="4" spans="1:16" x14ac:dyDescent="0.35">
      <c r="A4" t="s">
        <v>0</v>
      </c>
      <c r="D4" s="1" t="s">
        <v>19</v>
      </c>
      <c r="E4" t="s">
        <v>0</v>
      </c>
      <c r="J4" s="1" t="s">
        <v>19</v>
      </c>
      <c r="K4" t="s">
        <v>2</v>
      </c>
      <c r="O4" s="1" t="s">
        <v>19</v>
      </c>
      <c r="P4" t="s">
        <v>18</v>
      </c>
    </row>
    <row r="5" spans="1:16" x14ac:dyDescent="0.35">
      <c r="A5">
        <v>494</v>
      </c>
      <c r="D5" s="4" t="s">
        <v>48</v>
      </c>
      <c r="E5">
        <v>14</v>
      </c>
      <c r="J5" s="4" t="s">
        <v>48</v>
      </c>
      <c r="K5" s="2">
        <v>35.714285714285715</v>
      </c>
      <c r="O5" s="4" t="s">
        <v>48</v>
      </c>
      <c r="P5" s="2">
        <v>8</v>
      </c>
    </row>
    <row r="6" spans="1:16" x14ac:dyDescent="0.35">
      <c r="D6" s="4" t="s">
        <v>49</v>
      </c>
      <c r="E6">
        <v>15</v>
      </c>
      <c r="J6" s="4" t="s">
        <v>49</v>
      </c>
      <c r="K6" s="2">
        <v>38.533333333333331</v>
      </c>
      <c r="O6" s="4" t="s">
        <v>49</v>
      </c>
      <c r="P6" s="2">
        <v>4</v>
      </c>
    </row>
    <row r="7" spans="1:16" x14ac:dyDescent="0.35">
      <c r="D7" s="4" t="s">
        <v>50</v>
      </c>
      <c r="E7">
        <v>17</v>
      </c>
      <c r="J7" s="4" t="s">
        <v>50</v>
      </c>
      <c r="K7" s="2">
        <v>38.941176470588232</v>
      </c>
      <c r="O7" s="4" t="s">
        <v>50</v>
      </c>
      <c r="P7" s="2">
        <v>5.333333333333333</v>
      </c>
    </row>
    <row r="8" spans="1:16" x14ac:dyDescent="0.35">
      <c r="D8" s="4" t="s">
        <v>51</v>
      </c>
      <c r="E8">
        <v>12</v>
      </c>
      <c r="J8" s="4" t="s">
        <v>51</v>
      </c>
      <c r="K8" s="2">
        <v>35.666666666666664</v>
      </c>
      <c r="O8" s="4" t="s">
        <v>51</v>
      </c>
      <c r="P8" s="2">
        <v>4.666666666666667</v>
      </c>
    </row>
    <row r="9" spans="1:16" x14ac:dyDescent="0.35">
      <c r="A9" t="s">
        <v>2</v>
      </c>
      <c r="D9" s="4" t="s">
        <v>52</v>
      </c>
      <c r="E9">
        <v>23</v>
      </c>
      <c r="J9" s="4" t="s">
        <v>52</v>
      </c>
      <c r="K9" s="2">
        <v>39.478260869565219</v>
      </c>
      <c r="O9" s="4" t="s">
        <v>52</v>
      </c>
      <c r="P9" s="2">
        <v>6.2</v>
      </c>
    </row>
    <row r="10" spans="1:16" x14ac:dyDescent="0.35">
      <c r="A10" s="2">
        <v>36.392712550607285</v>
      </c>
      <c r="D10" s="4" t="s">
        <v>53</v>
      </c>
      <c r="E10">
        <v>10</v>
      </c>
      <c r="J10" s="4" t="s">
        <v>53</v>
      </c>
      <c r="K10" s="2">
        <v>25.1</v>
      </c>
      <c r="O10" s="4" t="s">
        <v>53</v>
      </c>
      <c r="P10" s="2">
        <v>6.333333333333333</v>
      </c>
    </row>
    <row r="11" spans="1:16" x14ac:dyDescent="0.35">
      <c r="D11" s="4" t="s">
        <v>54</v>
      </c>
      <c r="E11">
        <v>18</v>
      </c>
      <c r="J11" s="4" t="s">
        <v>54</v>
      </c>
      <c r="K11" s="2">
        <v>43.666666666666664</v>
      </c>
      <c r="O11" s="4" t="s">
        <v>54</v>
      </c>
      <c r="P11" s="2">
        <v>9.5</v>
      </c>
    </row>
    <row r="12" spans="1:16" x14ac:dyDescent="0.35">
      <c r="D12" s="4" t="s">
        <v>55</v>
      </c>
      <c r="E12">
        <v>11</v>
      </c>
      <c r="J12" s="4" t="s">
        <v>55</v>
      </c>
      <c r="K12" s="2">
        <v>38.090909090909093</v>
      </c>
      <c r="O12" s="4" t="s">
        <v>55</v>
      </c>
      <c r="P12" s="2">
        <v>2</v>
      </c>
    </row>
    <row r="13" spans="1:16" x14ac:dyDescent="0.35">
      <c r="A13" t="s">
        <v>18</v>
      </c>
      <c r="D13" s="4" t="s">
        <v>56</v>
      </c>
      <c r="E13">
        <v>12</v>
      </c>
      <c r="J13" s="4" t="s">
        <v>56</v>
      </c>
      <c r="K13" s="2">
        <v>28.25</v>
      </c>
      <c r="O13" s="4" t="s">
        <v>56</v>
      </c>
      <c r="P13" s="2">
        <v>6.666666666666667</v>
      </c>
    </row>
    <row r="14" spans="1:16" x14ac:dyDescent="0.35">
      <c r="A14" s="2">
        <v>5.0629921259842519</v>
      </c>
      <c r="D14" s="4" t="s">
        <v>57</v>
      </c>
      <c r="E14">
        <v>24</v>
      </c>
      <c r="J14" s="4" t="s">
        <v>57</v>
      </c>
      <c r="K14" s="2">
        <v>36.291666666666664</v>
      </c>
      <c r="O14" s="4" t="s">
        <v>57</v>
      </c>
      <c r="P14" s="2">
        <v>2.25</v>
      </c>
    </row>
    <row r="15" spans="1:16" x14ac:dyDescent="0.35">
      <c r="D15" s="4" t="s">
        <v>58</v>
      </c>
      <c r="E15">
        <v>16</v>
      </c>
      <c r="J15" s="4" t="s">
        <v>58</v>
      </c>
      <c r="K15" s="2">
        <v>31.875</v>
      </c>
      <c r="O15" s="4" t="s">
        <v>58</v>
      </c>
      <c r="P15" s="2">
        <v>3</v>
      </c>
    </row>
    <row r="16" spans="1:16" x14ac:dyDescent="0.35">
      <c r="D16" s="4" t="s">
        <v>59</v>
      </c>
      <c r="E16">
        <v>21</v>
      </c>
      <c r="J16" s="4" t="s">
        <v>59</v>
      </c>
      <c r="K16" s="2">
        <v>32.333333333333336</v>
      </c>
      <c r="O16" s="4" t="s">
        <v>59</v>
      </c>
      <c r="P16" s="2">
        <v>4.7142857142857144</v>
      </c>
    </row>
    <row r="17" spans="4:16" x14ac:dyDescent="0.35">
      <c r="D17" s="4" t="s">
        <v>60</v>
      </c>
      <c r="E17">
        <v>16</v>
      </c>
      <c r="J17" s="4" t="s">
        <v>60</v>
      </c>
      <c r="K17" s="2">
        <v>36.3125</v>
      </c>
      <c r="O17" s="4" t="s">
        <v>60</v>
      </c>
      <c r="P17" s="2">
        <v>10</v>
      </c>
    </row>
    <row r="18" spans="4:16" x14ac:dyDescent="0.35">
      <c r="D18" s="4" t="s">
        <v>61</v>
      </c>
      <c r="E18">
        <v>15</v>
      </c>
      <c r="J18" s="4" t="s">
        <v>61</v>
      </c>
      <c r="K18" s="2">
        <v>41.133333333333333</v>
      </c>
      <c r="O18" s="4" t="s">
        <v>61</v>
      </c>
      <c r="P18" s="2">
        <v>5.666666666666667</v>
      </c>
    </row>
    <row r="19" spans="4:16" x14ac:dyDescent="0.35">
      <c r="D19" s="4" t="s">
        <v>62</v>
      </c>
      <c r="E19">
        <v>14</v>
      </c>
      <c r="J19" s="4" t="s">
        <v>62</v>
      </c>
      <c r="K19" s="2">
        <v>32.071428571428569</v>
      </c>
      <c r="O19" s="4" t="s">
        <v>62</v>
      </c>
      <c r="P19" s="2">
        <v>5</v>
      </c>
    </row>
    <row r="20" spans="4:16" x14ac:dyDescent="0.35">
      <c r="D20" s="4" t="s">
        <v>63</v>
      </c>
      <c r="E20">
        <v>18</v>
      </c>
      <c r="J20" s="4" t="s">
        <v>63</v>
      </c>
      <c r="K20" s="2">
        <v>34.222222222222221</v>
      </c>
      <c r="O20" s="4" t="s">
        <v>63</v>
      </c>
      <c r="P20" s="2">
        <v>3</v>
      </c>
    </row>
    <row r="21" spans="4:16" x14ac:dyDescent="0.35">
      <c r="D21" s="4" t="s">
        <v>64</v>
      </c>
      <c r="E21">
        <v>12</v>
      </c>
      <c r="J21" s="4" t="s">
        <v>64</v>
      </c>
      <c r="K21" s="2">
        <v>43.666666666666664</v>
      </c>
      <c r="O21" s="4" t="s">
        <v>64</v>
      </c>
      <c r="P21" s="2">
        <v>5.333333333333333</v>
      </c>
    </row>
    <row r="22" spans="4:16" x14ac:dyDescent="0.35">
      <c r="D22" s="4" t="s">
        <v>65</v>
      </c>
      <c r="E22">
        <v>18</v>
      </c>
      <c r="J22" s="4" t="s">
        <v>65</v>
      </c>
      <c r="K22" s="2">
        <v>38.5</v>
      </c>
      <c r="O22" s="4" t="s">
        <v>65</v>
      </c>
      <c r="P22" s="2">
        <v>5.833333333333333</v>
      </c>
    </row>
    <row r="23" spans="4:16" x14ac:dyDescent="0.35">
      <c r="D23" s="4" t="s">
        <v>66</v>
      </c>
      <c r="E23">
        <v>16</v>
      </c>
      <c r="J23" s="4" t="s">
        <v>66</v>
      </c>
      <c r="K23" s="2">
        <v>32.6875</v>
      </c>
      <c r="O23" s="4" t="s">
        <v>66</v>
      </c>
      <c r="P23" s="2">
        <v>5.8</v>
      </c>
    </row>
    <row r="24" spans="4:16" x14ac:dyDescent="0.35">
      <c r="D24" s="4" t="s">
        <v>67</v>
      </c>
      <c r="E24">
        <v>22</v>
      </c>
      <c r="J24" s="4" t="s">
        <v>67</v>
      </c>
      <c r="K24" s="2">
        <v>41.045454545454547</v>
      </c>
      <c r="O24" s="4" t="s">
        <v>67</v>
      </c>
      <c r="P24" s="2">
        <v>5.2</v>
      </c>
    </row>
    <row r="25" spans="4:16" x14ac:dyDescent="0.35">
      <c r="D25" s="4" t="s">
        <v>68</v>
      </c>
      <c r="E25">
        <v>16</v>
      </c>
      <c r="J25" s="4" t="s">
        <v>68</v>
      </c>
      <c r="K25" s="2">
        <v>36.6875</v>
      </c>
      <c r="O25" s="4" t="s">
        <v>68</v>
      </c>
      <c r="P25" s="2">
        <v>4.5</v>
      </c>
    </row>
    <row r="26" spans="4:16" x14ac:dyDescent="0.35">
      <c r="D26" s="4" t="s">
        <v>69</v>
      </c>
      <c r="E26">
        <v>10</v>
      </c>
      <c r="J26" s="4" t="s">
        <v>69</v>
      </c>
      <c r="K26" s="2">
        <v>38.5</v>
      </c>
      <c r="O26" s="4" t="s">
        <v>69</v>
      </c>
      <c r="P26" s="2">
        <v>6</v>
      </c>
    </row>
    <row r="27" spans="4:16" x14ac:dyDescent="0.35">
      <c r="D27" s="4" t="s">
        <v>70</v>
      </c>
      <c r="E27">
        <v>18</v>
      </c>
      <c r="J27" s="4" t="s">
        <v>70</v>
      </c>
      <c r="K27" s="2">
        <v>33.777777777777779</v>
      </c>
      <c r="O27" s="4" t="s">
        <v>70</v>
      </c>
      <c r="P27" s="2">
        <v>6.5</v>
      </c>
    </row>
    <row r="28" spans="4:16" x14ac:dyDescent="0.35">
      <c r="D28" s="4" t="s">
        <v>71</v>
      </c>
      <c r="E28">
        <v>13</v>
      </c>
      <c r="J28" s="4" t="s">
        <v>71</v>
      </c>
      <c r="K28" s="2">
        <v>41.692307692307693</v>
      </c>
      <c r="O28" s="4" t="s">
        <v>71</v>
      </c>
      <c r="P28" s="2">
        <v>4.166666666666667</v>
      </c>
    </row>
    <row r="29" spans="4:16" x14ac:dyDescent="0.35">
      <c r="D29" s="4" t="s">
        <v>72</v>
      </c>
      <c r="E29">
        <v>20</v>
      </c>
      <c r="J29" s="4" t="s">
        <v>72</v>
      </c>
      <c r="K29" s="2">
        <v>31.7</v>
      </c>
      <c r="O29" s="4" t="s">
        <v>72</v>
      </c>
      <c r="P29" s="2">
        <v>3.6666666666666665</v>
      </c>
    </row>
    <row r="30" spans="4:16" x14ac:dyDescent="0.35">
      <c r="D30" s="4" t="s">
        <v>73</v>
      </c>
      <c r="E30">
        <v>17</v>
      </c>
      <c r="J30" s="4" t="s">
        <v>73</v>
      </c>
      <c r="K30" s="2">
        <v>36.470588235294116</v>
      </c>
      <c r="O30" s="4" t="s">
        <v>73</v>
      </c>
      <c r="P30" s="2">
        <v>3.5</v>
      </c>
    </row>
    <row r="31" spans="4:16" x14ac:dyDescent="0.35">
      <c r="D31" s="4" t="s">
        <v>74</v>
      </c>
      <c r="E31">
        <v>19</v>
      </c>
      <c r="J31" s="4" t="s">
        <v>74</v>
      </c>
      <c r="K31" s="2">
        <v>37.210526315789473</v>
      </c>
      <c r="O31" s="4" t="s">
        <v>74</v>
      </c>
      <c r="P31" s="2">
        <v>6</v>
      </c>
    </row>
    <row r="32" spans="4:16" x14ac:dyDescent="0.35">
      <c r="D32" s="4" t="s">
        <v>75</v>
      </c>
      <c r="E32">
        <v>17</v>
      </c>
      <c r="J32" s="4" t="s">
        <v>75</v>
      </c>
      <c r="K32" s="2">
        <v>36.294117647058826</v>
      </c>
      <c r="O32" s="4" t="s">
        <v>75</v>
      </c>
      <c r="P32" s="2">
        <v>5.1428571428571432</v>
      </c>
    </row>
    <row r="33" spans="1:16" x14ac:dyDescent="0.35">
      <c r="D33" s="4" t="s">
        <v>76</v>
      </c>
      <c r="E33">
        <v>22</v>
      </c>
      <c r="J33" s="4" t="s">
        <v>76</v>
      </c>
      <c r="K33" s="2">
        <v>32</v>
      </c>
      <c r="O33" s="4" t="s">
        <v>76</v>
      </c>
      <c r="P33" s="2">
        <v>4</v>
      </c>
    </row>
    <row r="34" spans="1:16" x14ac:dyDescent="0.35">
      <c r="D34" s="4" t="s">
        <v>77</v>
      </c>
      <c r="E34">
        <v>9</v>
      </c>
      <c r="J34" s="4" t="s">
        <v>77</v>
      </c>
      <c r="K34" s="2">
        <v>41.444444444444443</v>
      </c>
      <c r="O34" s="4" t="s">
        <v>77</v>
      </c>
      <c r="P34" s="2">
        <v>3.5</v>
      </c>
    </row>
    <row r="35" spans="1:16" x14ac:dyDescent="0.35">
      <c r="D35" s="4" t="s">
        <v>78</v>
      </c>
      <c r="E35">
        <v>9</v>
      </c>
      <c r="J35" s="4" t="s">
        <v>78</v>
      </c>
      <c r="K35" s="2">
        <v>40.444444444444443</v>
      </c>
      <c r="O35" s="4" t="s">
        <v>78</v>
      </c>
      <c r="P35" s="2">
        <v>5</v>
      </c>
    </row>
    <row r="36" spans="1:16" x14ac:dyDescent="0.35">
      <c r="D36" s="4" t="s">
        <v>20</v>
      </c>
      <c r="E36">
        <v>494</v>
      </c>
      <c r="J36" s="4" t="s">
        <v>20</v>
      </c>
      <c r="K36">
        <v>36.392712550607285</v>
      </c>
      <c r="O36" s="4" t="s">
        <v>20</v>
      </c>
      <c r="P36">
        <v>5.0629921259842519</v>
      </c>
    </row>
    <row r="39" spans="1:16" x14ac:dyDescent="0.35">
      <c r="A39" s="1" t="s">
        <v>19</v>
      </c>
      <c r="B39" t="s">
        <v>27</v>
      </c>
      <c r="C39" t="s">
        <v>28</v>
      </c>
    </row>
    <row r="40" spans="1:16" x14ac:dyDescent="0.35">
      <c r="A40" s="4" t="s">
        <v>5</v>
      </c>
      <c r="B40" s="9">
        <v>234</v>
      </c>
      <c r="C40" s="10">
        <v>0.47368421052631576</v>
      </c>
    </row>
    <row r="41" spans="1:16" x14ac:dyDescent="0.35">
      <c r="A41" s="4" t="s">
        <v>17</v>
      </c>
      <c r="B41" s="9">
        <v>260</v>
      </c>
      <c r="C41" s="10">
        <v>0.52631578947368418</v>
      </c>
    </row>
    <row r="42" spans="1:16" x14ac:dyDescent="0.35">
      <c r="A42" s="4" t="s">
        <v>20</v>
      </c>
      <c r="B42" s="2">
        <v>494</v>
      </c>
      <c r="C42" s="10">
        <v>1</v>
      </c>
    </row>
    <row r="43" spans="1:16" x14ac:dyDescent="0.35">
      <c r="I43" t="s">
        <v>33</v>
      </c>
    </row>
    <row r="44" spans="1:16" x14ac:dyDescent="0.35">
      <c r="I44" s="1" t="s">
        <v>19</v>
      </c>
      <c r="J44" t="s">
        <v>32</v>
      </c>
    </row>
    <row r="45" spans="1:16" x14ac:dyDescent="0.35">
      <c r="I45" s="4" t="s">
        <v>14</v>
      </c>
      <c r="J45" s="9">
        <v>70</v>
      </c>
    </row>
    <row r="46" spans="1:16" x14ac:dyDescent="0.35">
      <c r="I46" s="4" t="s">
        <v>9</v>
      </c>
      <c r="J46" s="9">
        <v>73</v>
      </c>
      <c r="M46" t="s">
        <v>38</v>
      </c>
    </row>
    <row r="47" spans="1:16" x14ac:dyDescent="0.35">
      <c r="I47" s="4" t="s">
        <v>13</v>
      </c>
      <c r="J47" s="9">
        <v>58</v>
      </c>
      <c r="M47" s="1" t="s">
        <v>19</v>
      </c>
      <c r="N47" t="s">
        <v>46</v>
      </c>
    </row>
    <row r="48" spans="1:16" x14ac:dyDescent="0.35">
      <c r="I48" s="4" t="s">
        <v>15</v>
      </c>
      <c r="J48" s="9">
        <v>73</v>
      </c>
      <c r="M48" s="4" t="s">
        <v>45</v>
      </c>
      <c r="N48" s="9">
        <v>6</v>
      </c>
    </row>
    <row r="49" spans="2:15" x14ac:dyDescent="0.35">
      <c r="I49" s="4" t="s">
        <v>11</v>
      </c>
      <c r="J49" s="9">
        <v>55</v>
      </c>
      <c r="M49" s="4" t="s">
        <v>42</v>
      </c>
      <c r="N49" s="9">
        <v>8</v>
      </c>
    </row>
    <row r="50" spans="2:15" x14ac:dyDescent="0.35">
      <c r="I50" s="4" t="s">
        <v>12</v>
      </c>
      <c r="J50" s="9">
        <v>51</v>
      </c>
      <c r="M50" s="4" t="s">
        <v>40</v>
      </c>
      <c r="N50" s="9">
        <v>8</v>
      </c>
    </row>
    <row r="51" spans="2:15" x14ac:dyDescent="0.35">
      <c r="I51" s="4" t="s">
        <v>6</v>
      </c>
      <c r="J51" s="9">
        <v>67</v>
      </c>
      <c r="M51" s="4" t="s">
        <v>44</v>
      </c>
      <c r="N51" s="9">
        <v>11</v>
      </c>
    </row>
    <row r="52" spans="2:15" x14ac:dyDescent="0.35">
      <c r="I52" s="4" t="s">
        <v>8</v>
      </c>
      <c r="J52" s="9">
        <v>47</v>
      </c>
      <c r="M52" s="4" t="s">
        <v>39</v>
      </c>
      <c r="N52" s="9">
        <v>17</v>
      </c>
    </row>
    <row r="53" spans="2:15" x14ac:dyDescent="0.35">
      <c r="I53" s="4" t="s">
        <v>20</v>
      </c>
      <c r="J53" s="2">
        <v>494</v>
      </c>
      <c r="M53" s="4" t="s">
        <v>43</v>
      </c>
      <c r="N53" s="9">
        <v>49</v>
      </c>
    </row>
    <row r="54" spans="2:15" x14ac:dyDescent="0.35">
      <c r="D54" t="s">
        <v>37</v>
      </c>
      <c r="M54" s="4" t="s">
        <v>41</v>
      </c>
      <c r="N54" s="9">
        <v>92</v>
      </c>
    </row>
    <row r="55" spans="2:15" x14ac:dyDescent="0.35">
      <c r="D55" s="1" t="s">
        <v>19</v>
      </c>
      <c r="E55" t="s">
        <v>36</v>
      </c>
      <c r="I55" s="4" t="s">
        <v>35</v>
      </c>
      <c r="M55" s="4" t="s">
        <v>4</v>
      </c>
      <c r="N55" s="9">
        <v>303</v>
      </c>
    </row>
    <row r="56" spans="2:15" x14ac:dyDescent="0.35">
      <c r="D56" s="4" t="s">
        <v>16</v>
      </c>
      <c r="E56" s="9">
        <v>241</v>
      </c>
      <c r="I56" s="1" t="s">
        <v>19</v>
      </c>
      <c r="J56" t="s">
        <v>34</v>
      </c>
      <c r="M56" s="4" t="s">
        <v>20</v>
      </c>
      <c r="N56" s="2">
        <v>494</v>
      </c>
    </row>
    <row r="57" spans="2:15" x14ac:dyDescent="0.35">
      <c r="D57" s="4" t="s">
        <v>3</v>
      </c>
      <c r="E57" s="9">
        <v>253</v>
      </c>
      <c r="I57" s="4" t="s">
        <v>7</v>
      </c>
      <c r="J57" s="9">
        <v>307</v>
      </c>
    </row>
    <row r="58" spans="2:15" x14ac:dyDescent="0.35">
      <c r="D58" s="4" t="s">
        <v>20</v>
      </c>
      <c r="E58" s="2">
        <v>494</v>
      </c>
      <c r="I58" s="4" t="s">
        <v>10</v>
      </c>
      <c r="J58" s="9">
        <v>187</v>
      </c>
    </row>
    <row r="59" spans="2:15" x14ac:dyDescent="0.35">
      <c r="I59" s="4" t="s">
        <v>20</v>
      </c>
      <c r="J59" s="2">
        <v>494</v>
      </c>
    </row>
    <row r="63" spans="2:15" ht="13.25" customHeight="1" x14ac:dyDescent="0.35">
      <c r="B63" s="13" t="s">
        <v>29</v>
      </c>
      <c r="C63" s="13" t="s">
        <v>31</v>
      </c>
      <c r="D63" s="13" t="s">
        <v>30</v>
      </c>
      <c r="E63" s="11"/>
      <c r="F63" s="11"/>
      <c r="G63" s="12"/>
      <c r="H63" s="12"/>
      <c r="K63" s="12"/>
      <c r="L63" s="12"/>
      <c r="O63" s="1" t="s">
        <v>19</v>
      </c>
    </row>
    <row r="64" spans="2:15" ht="13.25" customHeight="1" x14ac:dyDescent="0.35">
      <c r="B64" s="14" t="str">
        <f>A41</f>
        <v>Not Admitted</v>
      </c>
      <c r="C64" s="14">
        <f>B41</f>
        <v>260</v>
      </c>
      <c r="D64" s="15">
        <f>C41</f>
        <v>0.52631578947368418</v>
      </c>
      <c r="E64" s="5"/>
      <c r="F64" s="5"/>
      <c r="G64" s="12"/>
      <c r="H64" s="12"/>
      <c r="K64" s="12"/>
      <c r="L64" s="12"/>
      <c r="O64" s="4" t="s">
        <v>47</v>
      </c>
    </row>
    <row r="65" spans="2:15" ht="13.25" customHeight="1" x14ac:dyDescent="0.35">
      <c r="B65" s="14" t="str">
        <f>A40</f>
        <v>Admitted</v>
      </c>
      <c r="C65" s="14">
        <f>B40</f>
        <v>234</v>
      </c>
      <c r="D65" s="15">
        <f>C40</f>
        <v>0.47368421052631576</v>
      </c>
      <c r="E65" s="5"/>
      <c r="F65" s="5"/>
      <c r="G65" s="12"/>
      <c r="H65" s="12"/>
      <c r="K65" s="12"/>
      <c r="L65" s="12"/>
      <c r="O65" s="4" t="s">
        <v>20</v>
      </c>
    </row>
    <row r="66" spans="2:15" x14ac:dyDescent="0.35">
      <c r="B66" s="12"/>
      <c r="C66" s="12"/>
      <c r="D66" s="12"/>
      <c r="E66" s="12"/>
      <c r="F66" s="12"/>
      <c r="G66" s="12"/>
      <c r="H66" s="12"/>
      <c r="K66" s="12"/>
      <c r="L66" s="12"/>
    </row>
  </sheetData>
  <pageMargins left="0.7" right="0.7" top="0.75" bottom="0.75" header="0.3" footer="0.3"/>
  <drawing r:id="rId1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AC6B003-8638-4019-B2F2-975756F39451}">
  <ds:schemaRefs/>
</ds:datastoreItem>
</file>

<file path=customXml/itemProps2.xml><?xml version="1.0" encoding="utf-8"?>
<ds:datastoreItem xmlns:ds="http://schemas.openxmlformats.org/officeDocument/2006/customXml" ds:itemID="{30D212ED-22EB-4674-874D-6A5C9A346420}">
  <ds:schemaRefs/>
</ds:datastoreItem>
</file>

<file path=customXml/itemProps3.xml><?xml version="1.0" encoding="utf-8"?>
<ds:datastoreItem xmlns:ds="http://schemas.openxmlformats.org/officeDocument/2006/customXml" ds:itemID="{9A2B9964-48FC-4D7B-A1FC-A57E318929C6}">
  <ds:schemaRefs/>
</ds:datastoreItem>
</file>

<file path=customXml/itemProps4.xml><?xml version="1.0" encoding="utf-8"?>
<ds:datastoreItem xmlns:ds="http://schemas.openxmlformats.org/officeDocument/2006/customXml" ds:itemID="{B588E870-D796-4135-B355-4D2E4F7C43D6}">
  <ds:schemaRefs/>
</ds:datastoreItem>
</file>

<file path=customXml/itemProps5.xml><?xml version="1.0" encoding="utf-8"?>
<ds:datastoreItem xmlns:ds="http://schemas.openxmlformats.org/officeDocument/2006/customXml" ds:itemID="{B931C35F-67C4-45D4-925F-783589A5CA66}">
  <ds:schemaRefs/>
</ds:datastoreItem>
</file>

<file path=customXml/itemProps6.xml><?xml version="1.0" encoding="utf-8"?>
<ds:datastoreItem xmlns:ds="http://schemas.openxmlformats.org/officeDocument/2006/customXml" ds:itemID="{A9409925-73C7-4058-8497-8E24A176CEEB}">
  <ds:schemaRefs>
    <ds:schemaRef ds:uri="http://schemas.microsoft.com/DataMashup"/>
  </ds:schemaRefs>
</ds:datastoreItem>
</file>

<file path=customXml/itemProps7.xml><?xml version="1.0" encoding="utf-8"?>
<ds:datastoreItem xmlns:ds="http://schemas.openxmlformats.org/officeDocument/2006/customXml" ds:itemID="{82F2CE9A-5062-45A7-98A2-8688F6D3A9C3}">
  <ds:schemaRefs/>
</ds:datastoreItem>
</file>

<file path=customXml/itemProps8.xml><?xml version="1.0" encoding="utf-8"?>
<ds:datastoreItem xmlns:ds="http://schemas.openxmlformats.org/officeDocument/2006/customXml" ds:itemID="{D643F9B8-1209-45D7-BF86-D1D546721EBD}">
  <ds:schemaRefs/>
</ds:datastoreItem>
</file>

<file path=customXml/itemProps9.xml><?xml version="1.0" encoding="utf-8"?>
<ds:datastoreItem xmlns:ds="http://schemas.openxmlformats.org/officeDocument/2006/customXml" ds:itemID="{AD5A4D68-AC78-4519-AF27-E2ED8A6A6201}">
  <ds:schemaRefs/>
</ds:datastoreItem>
</file>

<file path=customXml/itemProps10.xml><?xml version="1.0" encoding="utf-8"?>
<ds:datastoreItem xmlns:ds="http://schemas.openxmlformats.org/officeDocument/2006/customXml" ds:itemID="{C6A95F6F-920F-4976-B473-31442ABA9BA7}">
  <ds:schemaRefs/>
</ds:datastoreItem>
</file>

<file path=customXml/itemProps11.xml><?xml version="1.0" encoding="utf-8"?>
<ds:datastoreItem xmlns:ds="http://schemas.openxmlformats.org/officeDocument/2006/customXml" ds:itemID="{D3021EC9-2157-417B-A891-3226D26F2921}">
  <ds:schemaRefs/>
</ds:datastoreItem>
</file>

<file path=customXml/itemProps12.xml><?xml version="1.0" encoding="utf-8"?>
<ds:datastoreItem xmlns:ds="http://schemas.openxmlformats.org/officeDocument/2006/customXml" ds:itemID="{2F8EF1B7-DE7C-40E1-887F-CFAA9132F889}">
  <ds:schemaRefs/>
</ds:datastoreItem>
</file>

<file path=customXml/itemProps13.xml><?xml version="1.0" encoding="utf-8"?>
<ds:datastoreItem xmlns:ds="http://schemas.openxmlformats.org/officeDocument/2006/customXml" ds:itemID="{0F33BEF8-2C44-4E4E-B07F-F1A3AD3CCA63}">
  <ds:schemaRefs/>
</ds:datastoreItem>
</file>

<file path=customXml/itemProps14.xml><?xml version="1.0" encoding="utf-8"?>
<ds:datastoreItem xmlns:ds="http://schemas.openxmlformats.org/officeDocument/2006/customXml" ds:itemID="{C1F1C72A-465A-4EE3-BE73-A66A513D62AD}">
  <ds:schemaRefs/>
</ds:datastoreItem>
</file>

<file path=customXml/itemProps15.xml><?xml version="1.0" encoding="utf-8"?>
<ds:datastoreItem xmlns:ds="http://schemas.openxmlformats.org/officeDocument/2006/customXml" ds:itemID="{AE023EEF-E4EB-4553-B587-A548E09E0B38}">
  <ds:schemaRefs/>
</ds:datastoreItem>
</file>

<file path=customXml/itemProps16.xml><?xml version="1.0" encoding="utf-8"?>
<ds:datastoreItem xmlns:ds="http://schemas.openxmlformats.org/officeDocument/2006/customXml" ds:itemID="{8D38A461-C30B-4CC0-8023-E1809F50DBA0}">
  <ds:schemaRefs/>
</ds:datastoreItem>
</file>

<file path=customXml/itemProps17.xml><?xml version="1.0" encoding="utf-8"?>
<ds:datastoreItem xmlns:ds="http://schemas.openxmlformats.org/officeDocument/2006/customXml" ds:itemID="{2153855D-C887-4602-A621-2F4CFEF00122}">
  <ds:schemaRefs/>
</ds:datastoreItem>
</file>

<file path=customXml/itemProps18.xml><?xml version="1.0" encoding="utf-8"?>
<ds:datastoreItem xmlns:ds="http://schemas.openxmlformats.org/officeDocument/2006/customXml" ds:itemID="{8716F963-0671-4260-A2C8-C8DF735984F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 </vt:lpstr>
      <vt:lpstr>Daily ER no of Patient</vt:lpstr>
      <vt:lpstr>Average wait time daily trend</vt:lpstr>
      <vt:lpstr>Satisfication score daily</vt:lpstr>
      <vt:lpstr>Pivot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Thakur</dc:creator>
  <cp:lastModifiedBy>1907006 AAKASH THAKUR</cp:lastModifiedBy>
  <dcterms:created xsi:type="dcterms:W3CDTF">2025-09-12T09:36:59Z</dcterms:created>
  <dcterms:modified xsi:type="dcterms:W3CDTF">2025-11-05T18:09:38Z</dcterms:modified>
</cp:coreProperties>
</file>